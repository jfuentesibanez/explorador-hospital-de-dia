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0ad59d66c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ción" sheetId="1" r:id="R5a4c5b9e1b264f63"/>
    <x:sheet xmlns:r="http://schemas.openxmlformats.org/officeDocument/2006/relationships" name="Parámetros" sheetId="2" r:id="Rb4db51d1eeca4628"/>
    <x:sheet xmlns:r="http://schemas.openxmlformats.org/officeDocument/2006/relationships" name="Circuitos" sheetId="3" r:id="R5a89694eff1d4148"/>
    <x:sheet xmlns:r="http://schemas.openxmlformats.org/officeDocument/2006/relationships" name="Evidencia" sheetId="4" r:id="R44d4fc764e28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"/>
    <x:numFmt numFmtId="202" formatCode="0.0%"/>
    <x:numFmt numFmtId="203" formatCode="#,##0.0;-#,##0.0;0.0"/>
    <x:numFmt numFmtId="204" formatCode="0.0&quot; pp&quot;;-0.0&quot; pp&quot;;0.0&quot; pp&quot;"/>
  </x:numFmts>
  <x:fonts count="5">
    <x:font>
      <x:sz val="11"/>
      <x:name val="Carlito"/>
    </x:font>
    <x:font>
      <x:sz val="11"/>
      <x:color rgb="FF193047"/>
      <x:name val="Arial"/>
    </x:font>
    <x:font>
      <x:b/>
      <x:sz val="16"/>
      <x:color rgb="FF193047"/>
      <x:name val="Arial"/>
    </x:font>
    <x:font>
      <x:sz val="11"/>
      <x:color rgb="FF58677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F5A"/>
      </x:patternFill>
    </x:fill>
    <x:fill>
      <x:patternFill patternType="solid">
        <x:fgColor rgb="FFFFF1CA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4" fillId="2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ont>
        <x:b/>
        <x:color rgb="FF9B1C28"/>
      </x:font>
      <x:fill>
        <x:patternFill patternType="solid">
          <x:bgColor rgb="FFFCE8E8"/>
        </x:patternFill>
      </x:fill>
    </x:dxf>
    <x:dxf>
      <x:font>
        <x:b/>
        <x:color rgb="FF9B1C28"/>
      </x:font>
      <x:fill>
        <x:patternFill patternType="solid">
          <x:bgColor rgb="FFFCE8E8"/>
        </x:patternFill>
      </x:fill>
    </x:dxf>
    <x:dxf>
      <x:font>
        <x:b/>
        <x:color rgb="FF9B1C28"/>
      </x:font>
      <x:fill>
        <x:patternFill patternType="solid">
          <x:bgColor rgb="FFFCE8E8"/>
        </x:patternFill>
      </x:fill>
    </x:dxf>
    <x:dxf>
      <x:font>
        <x:b/>
        <x:color rgb="FF9B1C28"/>
      </x:font>
      <x:fill>
        <x:patternFill patternType="solid">
          <x:bgColor rgb="FFFCE8E8"/>
        </x:patternFill>
      </x:fill>
    </x:dxf>
    <x:dxf>
      <x:font>
        <x:b/>
        <x:color rgb="FF9B1C28"/>
      </x:font>
      <x:fill>
        <x:patternFill patternType="solid">
          <x:bgColor rgb="FFFCE8E8"/>
        </x:patternFill>
      </x:fill>
    </x:dxf>
    <x:dxf>
      <x:font>
        <x:b/>
        <x:color rgb="FF9B1C28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c5a50f4aa4f1d" /><Relationship Type="http://schemas.openxmlformats.org/officeDocument/2006/relationships/theme" Target="/xl/theme/theme1.xml" Id="Rd5166f88513a4221" /><Relationship Type="http://schemas.openxmlformats.org/officeDocument/2006/relationships/sharedStrings" Target="/xl/sharedStrings.xml" Id="R30a3d11728884fd8" /><Relationship Type="http://schemas.openxmlformats.org/officeDocument/2006/relationships/worksheet" Target="/xl/worksheets/sheet1.xml" Id="R5a4c5b9e1b264f63" /><Relationship Type="http://schemas.openxmlformats.org/officeDocument/2006/relationships/worksheet" Target="/xl/worksheets/sheet2.xml" Id="Rb4db51d1eeca4628" /><Relationship Type="http://schemas.openxmlformats.org/officeDocument/2006/relationships/worksheet" Target="/xl/worksheets/sheet3.xml" Id="R5a89694eff1d4148" /><Relationship Type="http://schemas.openxmlformats.org/officeDocument/2006/relationships/worksheet" Target="/xl/worksheets/sheet4.xml" Id="R44d4fc764e2845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F5A"/>
  </x:sheetPr>
  <x:sheetViews>
    <x:sheetView showGridLines="0" workbookViewId="0"/>
  </x:sheetViews>
  <x:sheetFormatPr defaultRowHeight="15"/>
  <x:cols>
    <x:col min="1" max="1" width="3" hidden="0" customWidth="1"/>
    <x:col min="2" max="2" width="58" hidden="0" customWidth="1"/>
    <x:col min="3" max="3" width="20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2"/>
      <x:c r="B2" s="3" t="str">
        <x:v>Impacto operativo de Tecentriq IV y SC</x:v>
      </x:c>
      <x:c r="C2" s="2"/>
      <x:c r="D2" s="2"/>
      <x:c r="E2" s="2"/>
      <x:c r="F2" s="2"/>
      <x:c r="G2" s="2"/>
    </x:row>
    <x:row r="3" ht="26" customHeight="1">
      <x:c r="A3" s="2"/>
      <x:c r="B3" s="4" t="str">
        <x:v>Ejemplo totalmente sintético de un hospital ficticio; sin datos asistenciales observados.</x:v>
      </x:c>
      <x:c r="C3" s="2"/>
      <x:c r="D3" s="2"/>
      <x:c r="E3" s="2"/>
      <x:c r="F3" s="2"/>
      <x:c r="G3" s="2"/>
    </x:row>
    <x:row r="4" ht="26" customHeight="1">
      <x:c r="A4" s="2"/>
      <x:c r="B4" s="2"/>
      <x:c r="C4" s="2"/>
      <x:c r="D4" s="2"/>
      <x:c r="E4" s="2"/>
      <x:c r="F4" s="2"/>
      <x:c r="G4" s="2"/>
    </x:row>
    <x:row r="5" ht="26" customHeight="1">
      <x:c r="A5" s="2"/>
      <x:c r="B5" s="2" t="str">
        <x:v>Estado de las entradas</x:v>
      </x:c>
      <x:c r="C5" s="2"/>
      <x:c r="D5" s="2" t="str">
        <x:f>'Parámetros'!C5</x:f>
        <x:v>Válido</x:v>
      </x:c>
      <x:c r="E5" s="2"/>
      <x:c r="F5" s="2"/>
      <x:c r="G5" s="2"/>
    </x:row>
    <x:row r="6" ht="26" customHeight="1">
      <x:c r="A6" s="2"/>
      <x:c r="B6" s="4" t="str">
        <x:v>Para explorar: cambia las celdas ámbar de Parámetros y vuelve a esta comparación.</x:v>
      </x:c>
      <x:c r="C6" s="2"/>
      <x:c r="D6" s="2"/>
      <x:c r="E6" s="2"/>
      <x:c r="F6" s="2"/>
      <x:c r="G6" s="2"/>
    </x:row>
    <x:row r="7" ht="26" customHeight="1">
      <x:c r="A7" s="2"/>
      <x:c r="B7" s="2"/>
      <x:c r="C7" s="2"/>
      <x:c r="D7" s="2"/>
      <x:c r="E7" s="2"/>
      <x:c r="F7" s="2"/>
      <x:c r="G7" s="2"/>
    </x:row>
    <x:row r="8" ht="34" customHeight="1">
      <x:c r="A8" s="2"/>
      <x:c r="B8" s="8" t="str">
        <x:v>Totales del periodo</x:v>
      </x:c>
      <x:c r="C8" s="8" t="str">
        <x:v>Unidad</x:v>
      </x:c>
      <x:c r="D8" s="8" t="str">
        <x:v>Referencia</x:v>
      </x:c>
      <x:c r="E8" s="8" t="str">
        <x:v>Alternativa</x:v>
      </x:c>
      <x:c r="F8" s="8" t="str">
        <x:v>Cambio alt. − ref.</x:v>
      </x:c>
      <x:c r="G8" s="2"/>
    </x:row>
    <x:row r="9" ht="26" customHeight="1">
      <x:c r="A9" s="2"/>
      <x:c r="B9" s="2" t="str">
        <x:v>Administración de ambos fármacos</x:v>
      </x:c>
      <x:c r="C9" s="2" t="str">
        <x:v>min totales</x:v>
      </x:c>
      <x:c r="D9" s="19" t="n">
        <x:f>IF('Parámetros'!$C$5="Válido",D19*'Parámetros'!$C$8,"n.a.")</x:f>
        <x:v>14400</x:v>
      </x:c>
      <x:c r="E9" s="19" t="n">
        <x:f>IF('Parámetros'!$C$5="Válido",E19*'Parámetros'!$C$8,"n.a.")</x:f>
        <x:v>11280</x:v>
      </x:c>
      <x:c r="F9" s="19" t="n">
        <x:f>IF('Parámetros'!$C$5="Válido",E9-D9,"n.a.")</x:f>
        <x:v>-3120</x:v>
      </x:c>
      <x:c r="G9" s="2"/>
    </x:row>
    <x:row r="10" ht="26" customHeight="1">
      <x:c r="A10" s="2"/>
      <x:c r="B10" s="2" t="str">
        <x:v>Ocupación del paciente en sillón</x:v>
      </x:c>
      <x:c r="C10" s="2" t="str">
        <x:v>min totales</x:v>
      </x:c>
      <x:c r="D10" s="19" t="n">
        <x:f>IF('Parámetros'!$C$5="Válido",D20*'Parámetros'!$C$8,"n.a.")</x:f>
        <x:v>23700</x:v>
      </x:c>
      <x:c r="E10" s="19" t="n">
        <x:f>IF('Parámetros'!$C$5="Válido",E20*'Parámetros'!$C$8,"n.a.")</x:f>
        <x:v>20580</x:v>
      </x:c>
      <x:c r="F10" s="19" t="n">
        <x:f>IF('Parámetros'!$C$5="Válido",E10-D10,"n.a.")</x:f>
        <x:v>-3120</x:v>
      </x:c>
      <x:c r="G10" s="2"/>
    </x:row>
    <x:row r="11" ht="26" customHeight="1">
      <x:c r="A11" s="2"/>
      <x:c r="B11" s="2" t="str">
        <x:v>Estancia del paciente</x:v>
      </x:c>
      <x:c r="C11" s="2" t="str">
        <x:v>min totales</x:v>
      </x:c>
      <x:c r="D11" s="19" t="n">
        <x:f>IF('Parámetros'!$C$5="Válido",D21*'Parámetros'!$C$8,"n.a.")</x:f>
        <x:v>33700</x:v>
      </x:c>
      <x:c r="E11" s="19" t="n">
        <x:f>IF('Parámetros'!$C$5="Válido",E21*'Parámetros'!$C$8,"n.a.")</x:f>
        <x:v>30580</x:v>
      </x:c>
      <x:c r="F11" s="19" t="n">
        <x:f>IF('Parámetros'!$C$5="Válido",E11-D11,"n.a.")</x:f>
        <x:v>-3120</x:v>
      </x:c>
      <x:c r="G11" s="2"/>
    </x:row>
    <x:row r="12" ht="26" customHeight="1">
      <x:c r="A12" s="2"/>
      <x:c r="B12" s="2" t="str">
        <x:v>Bloqueo del recurso sillón</x:v>
      </x:c>
      <x:c r="C12" s="2" t="str">
        <x:v>min totales</x:v>
      </x:c>
      <x:c r="D12" s="19" t="n">
        <x:f>IF('Parámetros'!$C$5="Válido",D22*'Parámetros'!$C$8,"n.a.")</x:f>
        <x:v>24700</x:v>
      </x:c>
      <x:c r="E12" s="19" t="n">
        <x:f>IF('Parámetros'!$C$5="Válido",E22*'Parámetros'!$C$8,"n.a.")</x:f>
        <x:v>21580</x:v>
      </x:c>
      <x:c r="F12" s="19" t="n">
        <x:f>IF('Parámetros'!$C$5="Válido",E12-D12,"n.a.")</x:f>
        <x:v>-3120</x:v>
      </x:c>
      <x:c r="G12" s="2"/>
    </x:row>
    <x:row r="13" ht="26" customHeight="1">
      <x:c r="A13" s="2"/>
      <x:c r="B13" s="2" t="str">
        <x:v>Dedicación activa de enfermería</x:v>
      </x:c>
      <x:c r="C13" s="2" t="str">
        <x:v>min totales</x:v>
      </x:c>
      <x:c r="D13" s="19" t="n">
        <x:f>IF('Parámetros'!$C$5="Válido",D23*'Parámetros'!$C$8,"n.a.")</x:f>
        <x:v>8600</x:v>
      </x:c>
      <x:c r="E13" s="19" t="n">
        <x:f>IF('Parámetros'!$C$5="Válido",E23*'Parámetros'!$C$8,"n.a.")</x:f>
        <x:v>8720</x:v>
      </x:c>
      <x:c r="F13" s="19" t="n">
        <x:f>IF('Parámetros'!$C$5="Válido",E13-D13,"n.a.")</x:f>
        <x:v>120</x:v>
      </x:c>
      <x:c r="G13" s="2"/>
    </x:row>
    <x:row r="14" ht="26" customHeight="1">
      <x:c r="A14" s="2"/>
      <x:c r="B14" s="2" t="str">
        <x:v>Administración de atezolizumab</x:v>
      </x:c>
      <x:c r="C14" s="2" t="str">
        <x:v>min totales</x:v>
      </x:c>
      <x:c r="D14" s="19" t="n">
        <x:f>IF('Parámetros'!$C$5="Válido",D24*'Parámetros'!$C$8,"n.a.")</x:f>
        <x:v>6600</x:v>
      </x:c>
      <x:c r="E14" s="19" t="n">
        <x:f>IF('Parámetros'!$C$5="Válido",E24*'Parámetros'!$C$8,"n.a.")</x:f>
        <x:v>3480.0000000000005</x:v>
      </x:c>
      <x:c r="F14" s="19" t="n">
        <x:f>IF('Parámetros'!$C$5="Válido",E14-D14,"n.a.")</x:f>
        <x:v>-3119.9999999999995</x:v>
      </x:c>
      <x:c r="G14" s="2"/>
    </x:row>
    <x:row r="15" ht="26" customHeight="1">
      <x:c r="A15" s="2"/>
      <x:c r="B15" s="2" t="str">
        <x:v>Administración de bevacizumab</x:v>
      </x:c>
      <x:c r="C15" s="2" t="str">
        <x:v>min totales</x:v>
      </x:c>
      <x:c r="D15" s="19" t="n">
        <x:f>IF('Parámetros'!$C$5="Válido",D25*'Parámetros'!$C$8,"n.a.")</x:f>
        <x:v>7800</x:v>
      </x:c>
      <x:c r="E15" s="19" t="n">
        <x:f>IF('Parámetros'!$C$5="Válido",E25*'Parámetros'!$C$8,"n.a.")</x:f>
        <x:v>7800</x:v>
      </x:c>
      <x:c r="F15" s="19" t="n">
        <x:f>IF('Parámetros'!$C$5="Válido",E15-D15,"n.a.")</x:f>
        <x:v>0</x:v>
      </x:c>
      <x:c r="G15" s="2"/>
    </x:row>
    <x:row r="16" ht="26" customHeight="1">
      <x:c r="A16" s="2"/>
      <x:c r="B16" s="2"/>
      <x:c r="C16" s="2"/>
      <x:c r="D16" s="19"/>
      <x:c r="E16" s="19"/>
      <x:c r="F16" s="19"/>
      <x:c r="G16" s="2"/>
    </x:row>
    <x:row r="17" ht="26" customHeight="1">
      <x:c r="A17" s="2"/>
      <x:c r="B17" s="2"/>
      <x:c r="C17" s="2"/>
      <x:c r="D17" s="19"/>
      <x:c r="E17" s="19"/>
      <x:c r="F17" s="19"/>
      <x:c r="G17" s="2"/>
    </x:row>
    <x:row r="18" ht="34" customHeight="1">
      <x:c r="A18" s="2"/>
      <x:c r="B18" s="8" t="str">
        <x:v>Promedios ponderados por visita</x:v>
      </x:c>
      <x:c r="C18" s="8" t="str">
        <x:v>Unidad</x:v>
      </x:c>
      <x:c r="D18" s="22" t="str">
        <x:v>Referencia</x:v>
      </x:c>
      <x:c r="E18" s="22" t="str">
        <x:v>Alternativa</x:v>
      </x:c>
      <x:c r="F18" s="22" t="str">
        <x:v>Cambio alt. − ref.</x:v>
      </x:c>
      <x:c r="G18" s="2"/>
    </x:row>
    <x:row r="19" ht="26" customHeight="1">
      <x:c r="A19" s="2"/>
      <x:c r="B19" s="2" t="str">
        <x:v>Administración de ambos fármacos</x:v>
      </x:c>
      <x:c r="C19" s="2" t="str">
        <x:v>min/visita</x:v>
      </x:c>
      <x:c r="D19" s="19" t="n">
        <x:f>IF('Parámetros'!$C$5="Válido",SUMPRODUCT('Circuitos'!$N$8:$N$13,'Circuitos'!I8:I13),"n.a.")</x:f>
        <x:v>72</x:v>
      </x:c>
      <x:c r="E19" s="19" t="n">
        <x:f>IF('Parámetros'!$C$5="Válido",SUMPRODUCT('Circuitos'!$O$8:$O$13,'Circuitos'!I8:I13),"n.a.")</x:f>
        <x:v>56.4</x:v>
      </x:c>
      <x:c r="F19" s="19" t="n">
        <x:f>IF('Parámetros'!$C$5="Válido",E19-D19,"n.a.")</x:f>
        <x:v>-15.600000000000001</x:v>
      </x:c>
      <x:c r="G19" s="2"/>
    </x:row>
    <x:row r="20" ht="26" customHeight="1">
      <x:c r="A20" s="2"/>
      <x:c r="B20" s="2" t="str">
        <x:v>Ocupación del paciente en sillón</x:v>
      </x:c>
      <x:c r="C20" s="2" t="str">
        <x:v>min/visita</x:v>
      </x:c>
      <x:c r="D20" s="19" t="n">
        <x:f>IF('Parámetros'!$C$5="Válido",SUMPRODUCT('Circuitos'!$N$8:$N$13,'Circuitos'!J8:J13),"n.a.")</x:f>
        <x:v>118.5</x:v>
      </x:c>
      <x:c r="E20" s="19" t="n">
        <x:f>IF('Parámetros'!$C$5="Válido",SUMPRODUCT('Circuitos'!$O$8:$O$13,'Circuitos'!J8:J13),"n.a.")</x:f>
        <x:v>102.9</x:v>
      </x:c>
      <x:c r="F20" s="19" t="n">
        <x:f>IF('Parámetros'!$C$5="Válido",E20-D20,"n.a.")</x:f>
        <x:v>-15.599999999999994</x:v>
      </x:c>
      <x:c r="G20" s="2"/>
    </x:row>
    <x:row r="21" ht="26" customHeight="1">
      <x:c r="A21" s="2"/>
      <x:c r="B21" s="2" t="str">
        <x:v>Estancia del paciente</x:v>
      </x:c>
      <x:c r="C21" s="2" t="str">
        <x:v>min/visita</x:v>
      </x:c>
      <x:c r="D21" s="19" t="n">
        <x:f>IF('Parámetros'!$C$5="Válido",SUMPRODUCT('Circuitos'!$N$8:$N$13,'Circuitos'!K8:K13),"n.a.")</x:f>
        <x:v>168.5</x:v>
      </x:c>
      <x:c r="E21" s="19" t="n">
        <x:f>IF('Parámetros'!$C$5="Válido",SUMPRODUCT('Circuitos'!$O$8:$O$13,'Circuitos'!K8:K13),"n.a.")</x:f>
        <x:v>152.9</x:v>
      </x:c>
      <x:c r="F21" s="19" t="n">
        <x:f>IF('Parámetros'!$C$5="Válido",E21-D21,"n.a.")</x:f>
        <x:v>-15.599999999999994</x:v>
      </x:c>
      <x:c r="G21" s="2"/>
    </x:row>
    <x:row r="22" ht="26" customHeight="1">
      <x:c r="A22" s="2"/>
      <x:c r="B22" s="2" t="str">
        <x:v>Bloqueo del recurso sillón</x:v>
      </x:c>
      <x:c r="C22" s="2" t="str">
        <x:v>min/visita</x:v>
      </x:c>
      <x:c r="D22" s="19" t="n">
        <x:f>IF('Parámetros'!$C$5="Válido",SUMPRODUCT('Circuitos'!$N$8:$N$13,'Circuitos'!L8:L13),"n.a.")</x:f>
        <x:v>123.5</x:v>
      </x:c>
      <x:c r="E22" s="19" t="n">
        <x:f>IF('Parámetros'!$C$5="Válido",SUMPRODUCT('Circuitos'!$O$8:$O$13,'Circuitos'!L8:L13),"n.a.")</x:f>
        <x:v>107.9</x:v>
      </x:c>
      <x:c r="F22" s="19" t="n">
        <x:f>IF('Parámetros'!$C$5="Válido",E22-D22,"n.a.")</x:f>
        <x:v>-15.599999999999994</x:v>
      </x:c>
      <x:c r="G22" s="2"/>
    </x:row>
    <x:row r="23" ht="26" customHeight="1">
      <x:c r="A23" s="2"/>
      <x:c r="B23" s="2" t="str">
        <x:v>Dedicación activa de enfermería</x:v>
      </x:c>
      <x:c r="C23" s="2" t="str">
        <x:v>min/visita</x:v>
      </x:c>
      <x:c r="D23" s="19" t="n">
        <x:f>IF('Parámetros'!$C$5="Válido",SUMPRODUCT('Circuitos'!$N$8:$N$13,'Circuitos'!M8:M13),"n.a.")</x:f>
        <x:v>43</x:v>
      </x:c>
      <x:c r="E23" s="19" t="n">
        <x:f>IF('Parámetros'!$C$5="Válido",SUMPRODUCT('Circuitos'!$O$8:$O$13,'Circuitos'!M8:M13),"n.a.")</x:f>
        <x:v>43.6</x:v>
      </x:c>
      <x:c r="F23" s="19" t="n">
        <x:f>IF('Parámetros'!$C$5="Válido",E23-D23,"n.a.")</x:f>
        <x:v>0.6000000000000014</x:v>
      </x:c>
      <x:c r="G23" s="2"/>
    </x:row>
    <x:row r="24" ht="26" customHeight="1">
      <x:c r="A24" s="2"/>
      <x:c r="B24" s="2" t="str">
        <x:v>Administración de atezolizumab</x:v>
      </x:c>
      <x:c r="C24" s="2" t="str">
        <x:v>min/visita</x:v>
      </x:c>
      <x:c r="D24" s="19" t="n">
        <x:f>IF('Parámetros'!$C$5="Válido",SUMPRODUCT('Circuitos'!$N$8:$N$13,'Circuitos'!E8:E13),"n.a.")</x:f>
        <x:v>33</x:v>
      </x:c>
      <x:c r="E24" s="19" t="n">
        <x:f>IF('Parámetros'!$C$5="Válido",SUMPRODUCT('Circuitos'!$O$8:$O$13,'Circuitos'!E8:E13),"n.a.")</x:f>
        <x:v>17.400000000000002</x:v>
      </x:c>
      <x:c r="F24" s="19" t="n">
        <x:f>IF('Parámetros'!$C$5="Válido",E24-D24,"n.a.")</x:f>
        <x:v>-15.599999999999998</x:v>
      </x:c>
      <x:c r="G24" s="2"/>
    </x:row>
    <x:row r="25" ht="26" customHeight="1">
      <x:c r="A25" s="2"/>
      <x:c r="B25" s="2" t="str">
        <x:v>Administración de bevacizumab</x:v>
      </x:c>
      <x:c r="C25" s="2" t="str">
        <x:v>min/visita</x:v>
      </x:c>
      <x:c r="D25" s="19" t="n">
        <x:f>IF('Parámetros'!$C$5="Válido",SUMPRODUCT('Circuitos'!$N$8:$N$13,'Circuitos'!F8:F13),"n.a.")</x:f>
        <x:v>39</x:v>
      </x:c>
      <x:c r="E25" s="19" t="n">
        <x:f>IF('Parámetros'!$C$5="Válido",SUMPRODUCT('Circuitos'!$O$8:$O$13,'Circuitos'!F8:F13),"n.a.")</x:f>
        <x:v>39</x:v>
      </x:c>
      <x:c r="F25" s="19" t="n">
        <x:f>IF('Parámetros'!$C$5="Válido",E25-D25,"n.a.")</x:f>
        <x:v>0</x:v>
      </x:c>
      <x:c r="G25" s="2"/>
    </x:row>
    <x:row r="26" ht="26" customHeight="1">
      <x:c r="A26" s="2"/>
      <x:c r="B26" s="2"/>
      <x:c r="C26" s="2"/>
      <x:c r="D26" s="19"/>
      <x:c r="E26" s="19"/>
      <x:c r="F26" s="19"/>
      <x:c r="G26" s="2"/>
    </x:row>
    <x:row r="27" ht="26" customHeight="1">
      <x:c r="A27" s="2"/>
      <x:c r="B27" s="2"/>
      <x:c r="C27" s="2"/>
      <x:c r="D27" s="19"/>
      <x:c r="E27" s="19"/>
      <x:c r="F27" s="19"/>
      <x:c r="G27" s="2"/>
    </x:row>
    <x:row r="28" ht="34" customHeight="1">
      <x:c r="A28" s="2"/>
      <x:c r="B28" s="8" t="str">
        <x:v>Actividad y recursos del periodo</x:v>
      </x:c>
      <x:c r="C28" s="8" t="str">
        <x:v>Unidad</x:v>
      </x:c>
      <x:c r="D28" s="22" t="str">
        <x:v>Referencia</x:v>
      </x:c>
      <x:c r="E28" s="22" t="str">
        <x:v>Alternativa</x:v>
      </x:c>
      <x:c r="F28" s="22" t="str">
        <x:v>Cambio alt. − ref.</x:v>
      </x:c>
      <x:c r="G28" s="2"/>
    </x:row>
    <x:row r="29" ht="26" customHeight="1">
      <x:c r="A29" s="2"/>
      <x:c r="B29" s="2" t="str">
        <x:v>Visitas equivalentes IV</x:v>
      </x:c>
      <x:c r="C29" s="2" t="str">
        <x:v>visitas</x:v>
      </x:c>
      <x:c r="D29" s="19" t="n">
        <x:f>IF('Parámetros'!$C$5="Válido",'Parámetros'!$C$8*(1-'Parámetros'!$C$9/100),"n.a.")</x:f>
        <x:v>200</x:v>
      </x:c>
      <x:c r="E29" s="19" t="n">
        <x:f>IF('Parámetros'!$C$5="Válido",'Parámetros'!$C$8*(1-'Parámetros'!$C$10/100),"n.a.")</x:f>
        <x:v>80</x:v>
      </x:c>
      <x:c r="F29" s="19" t="n">
        <x:f>IF(AND(ISNUMBER(D29),ISNUMBER(E29)),E29-D29,"n.a.")</x:f>
        <x:v>-120</x:v>
      </x:c>
      <x:c r="G29" s="2"/>
    </x:row>
    <x:row r="30" ht="26" customHeight="1">
      <x:c r="A30" s="2"/>
      <x:c r="B30" s="2" t="str">
        <x:v>Visitas equivalentes SC</x:v>
      </x:c>
      <x:c r="C30" s="2" t="str">
        <x:v>visitas</x:v>
      </x:c>
      <x:c r="D30" s="19" t="n">
        <x:f>IF('Parámetros'!$C$5="Válido",'Parámetros'!$C$8*'Parámetros'!$C$9/100,"n.a.")</x:f>
        <x:v>0</x:v>
      </x:c>
      <x:c r="E30" s="19" t="n">
        <x:f>IF('Parámetros'!$C$5="Válido",'Parámetros'!$C$8*'Parámetros'!$C$10/100,"n.a.")</x:f>
        <x:v>120</x:v>
      </x:c>
      <x:c r="F30" s="19" t="n">
        <x:f>IF(AND(ISNUMBER(D30),ISNUMBER(E30)),E30-D30,"n.a.")</x:f>
        <x:v>120</x:v>
      </x:c>
      <x:c r="G30" s="2"/>
    </x:row>
    <x:row r="31" ht="26" customHeight="1">
      <x:c r="A31" s="2"/>
      <x:c r="B31" s="2" t="str">
        <x:v>Capacidad reservada de sillones</x:v>
      </x:c>
      <x:c r="C31" s="2" t="str">
        <x:v>min disponibles</x:v>
      </x:c>
      <x:c r="D31" s="19" t="n">
        <x:f>IF('Parámetros'!$C$5="Válido",'Parámetros'!$C$11*'Parámetros'!$C$12*'Parámetros'!$C$13*60*'Parámetros'!$C$14/100,"n.a.")</x:f>
        <x:v>32640</x:v>
      </x:c>
      <x:c r="E31" s="19" t="n">
        <x:f>IF('Parámetros'!$C$5="Válido",D31,"n.a.")</x:f>
        <x:v>32640</x:v>
      </x:c>
      <x:c r="F31" s="19" t="n">
        <x:f>IF(AND(ISNUMBER(D31),ISNUMBER(E31)),E31-D31,"n.a.")</x:f>
        <x:v>0</x:v>
      </x:c>
      <x:c r="G31" s="2"/>
    </x:row>
    <x:row r="32" ht="26" customHeight="1">
      <x:c r="A32" s="2"/>
      <x:c r="B32" s="2" t="str">
        <x:v>Carga agregada de sillones</x:v>
      </x:c>
      <x:c r="C32" s="2" t="str">
        <x:v>%</x:v>
      </x:c>
      <x:c r="D32" s="18" t="n">
        <x:f>IF('Parámetros'!$C$5="Válido",IF(D31=0,"n.a.",D12/D31),"n.a.")</x:f>
        <x:v>0.7567401960784313</x:v>
      </x:c>
      <x:c r="E32" s="18" t="n">
        <x:f>IF('Parámetros'!$C$5="Válido",IF(E31=0,"n.a.",E12/E31),"n.a.")</x:f>
        <x:v>0.6611519607843137</x:v>
      </x:c>
      <x:c r="F32" s="23" t="n">
        <x:f>IF(AND(ISNUMBER(D32),ISNUMBER(E32)),100*(E32-D32),"n.a.")</x:f>
        <x:v>-9.558823529411764</x:v>
      </x:c>
      <x:c r="G32" s="2"/>
    </x:row>
    <x:row r="33" ht="26" customHeight="1">
      <x:c r="A33" s="2"/>
      <x:c r="B33" s="2" t="str">
        <x:v>Balance de sillones: capacidad − bloqueo</x:v>
      </x:c>
      <x:c r="C33" s="2" t="str">
        <x:v>min</x:v>
      </x:c>
      <x:c r="D33" s="19" t="n">
        <x:f>IF('Parámetros'!$C$5="Válido",D31-D12,"n.a.")</x:f>
        <x:v>7940</x:v>
      </x:c>
      <x:c r="E33" s="19" t="n">
        <x:f>IF('Parámetros'!$C$5="Válido",E31-E12,"n.a.")</x:f>
        <x:v>11060</x:v>
      </x:c>
      <x:c r="F33" s="19" t="n">
        <x:f>IF(AND(ISNUMBER(D33),ISNUMBER(E33)),E33-D33,"n.a.")</x:f>
        <x:v>3120</x:v>
      </x:c>
      <x:c r="G33" s="2"/>
    </x:row>
    <x:row r="34" ht="26" customHeight="1">
      <x:c r="A34" s="2"/>
      <x:c r="B34" s="2" t="str">
        <x:v>Capacidad reservada de enfermería</x:v>
      </x:c>
      <x:c r="C34" s="2" t="str">
        <x:v>min disponibles</x:v>
      </x:c>
      <x:c r="D34" s="19" t="n">
        <x:f>IF('Parámetros'!$C$5="Válido",'Parámetros'!$C$15*'Parámetros'!$C$12*'Parámetros'!$C$13*60*'Parámetros'!$C$16/100,"n.a.")</x:f>
        <x:v>7680</x:v>
      </x:c>
      <x:c r="E34" s="19" t="n">
        <x:f>IF('Parámetros'!$C$5="Válido",D34,"n.a.")</x:f>
        <x:v>7680</x:v>
      </x:c>
      <x:c r="F34" s="19" t="n">
        <x:f>IF(AND(ISNUMBER(D34),ISNUMBER(E34)),E34-D34,"n.a.")</x:f>
        <x:v>0</x:v>
      </x:c>
      <x:c r="G34" s="2"/>
    </x:row>
    <x:row r="35" ht="26" customHeight="1">
      <x:c r="A35" s="2"/>
      <x:c r="B35" s="2" t="str">
        <x:v>Carga agregada de enfermería</x:v>
      </x:c>
      <x:c r="C35" s="2" t="str">
        <x:v>%</x:v>
      </x:c>
      <x:c r="D35" s="18" t="n">
        <x:f>IF('Parámetros'!$C$5="Válido",IF(D34=0,"n.a.",D13/D34),"n.a.")</x:f>
        <x:v>1.1197916666666667</x:v>
      </x:c>
      <x:c r="E35" s="18" t="n">
        <x:f>IF('Parámetros'!$C$5="Válido",IF(E34=0,"n.a.",E13/E34),"n.a.")</x:f>
        <x:v>1.1354166666666667</x:v>
      </x:c>
      <x:c r="F35" s="23" t="n">
        <x:f>IF(AND(ISNUMBER(D35),ISNUMBER(E35)),100*(E35-D35),"n.a.")</x:f>
        <x:v>1.5625</x:v>
      </x:c>
      <x:c r="G35" s="2"/>
    </x:row>
    <x:row r="36" ht="26" customHeight="1">
      <x:c r="A36" s="2"/>
      <x:c r="B36" s="2" t="str">
        <x:v>Balance enfermería: capacidad − dedicación</x:v>
      </x:c>
      <x:c r="C36" s="2" t="str">
        <x:v>min</x:v>
      </x:c>
      <x:c r="D36" s="19" t="n">
        <x:f>IF('Parámetros'!$C$5="Válido",D34-D13,"n.a.")</x:f>
        <x:v>-920</x:v>
      </x:c>
      <x:c r="E36" s="19" t="n">
        <x:f>IF('Parámetros'!$C$5="Válido",E34-E13,"n.a.")</x:f>
        <x:v>-1040</x:v>
      </x:c>
      <x:c r="F36" s="19" t="n">
        <x:f>IF(AND(ISNUMBER(D36),ISNUMBER(E36)),E36-D36,"n.a.")</x:f>
        <x:v>-120</x:v>
      </x:c>
      <x:c r="G36" s="2"/>
    </x:row>
    <x:row r="37" ht="26" customHeight="1">
      <x:c r="A37" s="2"/>
      <x:c r="B37" s="2" t="str">
        <x:v>Proporción SC</x:v>
      </x:c>
      <x:c r="C37" s="2" t="str">
        <x:v>%</x:v>
      </x:c>
      <x:c r="D37" s="18" t="n">
        <x:f>IF('Parámetros'!$C$5="Válido",'Parámetros'!$C$9/100,"n.a.")</x:f>
        <x:v>0</x:v>
      </x:c>
      <x:c r="E37" s="18" t="n">
        <x:f>IF('Parámetros'!$C$5="Válido",'Parámetros'!$C$10/100,"n.a.")</x:f>
        <x:v>0.6</x:v>
      </x:c>
      <x:c r="F37" s="23" t="n">
        <x:f>IF(AND(ISNUMBER(D37),ISNUMBER(E37)),100*(E37-D37),"n.a.")</x:f>
        <x:v>60</x:v>
      </x:c>
      <x:c r="G37" s="2"/>
    </x:row>
    <x:row r="38" ht="26" customHeight="1">
      <x:c r="A38" s="2"/>
      <x:c r="B38" s="2"/>
      <x:c r="C38" s="2"/>
      <x:c r="D38" s="2"/>
      <x:c r="E38" s="2"/>
      <x:c r="F38" s="2"/>
      <x:c r="G38" s="2"/>
    </x:row>
    <x:row r="39" ht="26" customHeight="1">
      <x:c r="A39" s="2"/>
      <x:c r="B39" s="2"/>
      <x:c r="C39" s="2"/>
      <x:c r="D39" s="2"/>
      <x:c r="E39" s="2"/>
      <x:c r="F39" s="2"/>
      <x:c r="G39" s="2"/>
    </x:row>
    <x:row r="40" ht="26" customHeight="1">
      <x:c r="A40" s="2"/>
      <x:c r="B40" s="4" t="str">
        <x:v>Cambios firmados: negativo implica menos minutos, positivo más. En porcentajes, el cambio es diferencia de proporciones (puntos porcentuales).</x:v>
      </x:c>
      <x:c r="C40" s="2"/>
      <x:c r="D40" s="2"/>
      <x:c r="E40" s="2"/>
      <x:c r="F40" s="2"/>
      <x:c r="G40" s="2"/>
    </x:row>
    <x:row r="41" ht="26" customHeight="1">
      <x:c r="A41" s="2"/>
      <x:c r="B41" s="4" t="str">
        <x:v>Visitas equivalentes: mezcla ponderada sin redondear. Promedios por visita permanecen definidos con volumen cero; los totales son cero.</x:v>
      </x:c>
      <x:c r="C41" s="2"/>
      <x:c r="D41" s="2"/>
      <x:c r="E41" s="2"/>
      <x:c r="F41" s="2"/>
      <x:c r="G41" s="2"/>
    </x:row>
    <x:row r="42" ht="26" customHeight="1">
      <x:c r="A42" s="2"/>
      <x:c r="B42" s="4" t="str">
        <x:v>Carga &gt;100 % indica demanda agregada superior a capacidad. Una carga inferior no demuestra viabilidad de agenda ni capacidad realizable.</x:v>
      </x:c>
      <x:c r="C42" s="2"/>
      <x:c r="D42" s="2"/>
      <x:c r="E42" s="2"/>
      <x:c r="F42" s="2"/>
      <x:c r="G42" s="2"/>
    </x:row>
    <x:row r="43" ht="26" customHeight="1">
      <x:c r="A43" s="2"/>
      <x:c r="B43" s="4" t="str">
        <x:v>Cero capacidad: carga no calculable (n.a.); el balance de minutos sigue definido. No se estiman pacientes adicionales ni costes.</x:v>
      </x:c>
      <x:c r="C43" s="2"/>
      <x:c r="D43" s="2"/>
      <x:c r="E43" s="2"/>
      <x:c r="F43" s="2"/>
      <x:c r="G43" s="2"/>
    </x:row>
    <x:row r="44" ht="26" customHeight="1">
      <x:c r="A44" s="2"/>
      <x:c r="B44" s="4" t="str">
        <x:v>Demo para revisión profesional. No prescribe tratamientos ni verifica selección individual, tolerancia, eventos adversos o resultados clínicos.</x:v>
      </x:c>
      <x:c r="C44" s="2"/>
      <x:c r="D44" s="2"/>
      <x:c r="E44" s="2"/>
      <x:c r="F44" s="2"/>
      <x:c r="G44" s="2"/>
    </x:row>
    <x:row r="45" ht="26" customHeight="1">
      <x:c r="A45" s="2"/>
      <x:c r="B45" s="4" t="str">
        <x:v>Fuente de los datos: tiempos publicados en Parámetros; actividad sintética y tiempos operativos supuestos. Revisar Evidencia antes del uso docente.</x:v>
      </x:c>
      <x:c r="C45" s="2"/>
      <x:c r="D45" s="2"/>
      <x:c r="E45" s="2"/>
      <x:c r="F45" s="2"/>
      <x:c r="G45" s="2"/>
    </x:row>
    <x:row r="46" ht="26" customHeight="1">
      <x:c r="A46" s="2"/>
      <x:c r="B46" s="2"/>
      <x:c r="C46" s="2"/>
      <x:c r="D46" s="2"/>
      <x:c r="E46" s="2"/>
      <x:c r="F46" s="2"/>
      <x:c r="G46" s="2"/>
    </x:row>
    <x:row r="47" ht="26" customHeight="1">
      <x:c r="A47" s="2"/>
      <x:c r="B47" s="2"/>
      <x:c r="C47" s="2"/>
      <x:c r="D47" s="2"/>
      <x:c r="E47" s="2"/>
      <x:c r="F47" s="2"/>
      <x:c r="G47" s="2"/>
    </x:row>
  </x:sheetData>
  <x:conditionalFormatting sqref="D32:E32">
    <x:cfRule type="cellIs" dxfId="3" priority="1" operator="greaterThan">
      <x:formula>1</x:formula>
    </x:cfRule>
  </x:conditionalFormatting>
  <x:conditionalFormatting sqref="D35:E35">
    <x:cfRule type="cellIs" dxfId="4" priority="2" operator="greaterThan">
      <x:formula>1</x:formula>
    </x:cfRule>
  </x:conditionalFormatting>
  <x:conditionalFormatting sqref="D5:D5">
    <x:cfRule type="containsText" dxfId="5" priority="3" operator="containsText" text="Revisar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06E7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58" hidden="0" customWidth="1"/>
    <x:col min="3" max="3" width="21" hidden="0" customWidth="1"/>
    <x:col min="4" max="4" width="14" hidden="0" customWidth="1"/>
    <x:col min="5" max="5" width="14" hidden="0" customWidth="1"/>
    <x:col min="6" max="6" width="10" hidden="0" customWidth="1"/>
    <x:col min="7" max="7" width="10" hidden="0" customWidth="1"/>
    <x:col min="8" max="8" width="20" hidden="0" customWidth="1"/>
    <x:col min="9" max="9" width="91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2"/>
      <x:c r="B2" s="3" t="str">
        <x:v>Parámetros del hospital ficticio</x:v>
      </x:c>
      <x:c r="C2" s="2"/>
      <x:c r="D2" s="2"/>
      <x:c r="E2" s="2"/>
      <x:c r="F2" s="2"/>
      <x:c r="G2" s="2"/>
      <x:c r="H2" s="2"/>
      <x:c r="I2" s="2"/>
    </x:row>
    <x:row r="3" ht="26" customHeight="1">
      <x:c r="A3" s="2"/>
      <x:c r="B3" s="4" t="str">
        <x:v>Ámbar: editable. Porcentajes 0–100. Horas en pasos 0,5; enfermería equivalente 0,1; resto enteros. Todas las fases deben ser válidas, aunque su peso sea cero.</x:v>
      </x:c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6" customHeight="1">
      <x:c r="A5" s="2"/>
      <x:c r="B5" s="2" t="str">
        <x:v>Estado de las entradas</x:v>
      </x:c>
      <x:c r="C5" s="2" t="str">
        <x:f>IF(AND(COUNTIFS(H8:H42,"&lt;&gt;Válido")=0,COUNTIFS(H46:H54,"&lt;&gt;Válido")=0),"Válido","Revisar entradas")</x:f>
        <x:v>Válido</x:v>
      </x:c>
      <x:c r="D5" s="2"/>
      <x:c r="E5" s="2"/>
      <x:c r="F5" s="2"/>
      <x:c r="G5" s="2"/>
      <x:c r="H5" s="2"/>
      <x:c r="I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4" customHeight="1">
      <x:c r="A7" s="2"/>
      <x:c r="B7" s="8" t="str">
        <x:v>Parámetro</x:v>
      </x:c>
      <x:c r="C7" s="8" t="str">
        <x:v>Valor</x:v>
      </x:c>
      <x:c r="D7" s="8" t="str">
        <x:v>Unidad</x:v>
      </x:c>
      <x:c r="E7" s="8" t="str">
        <x:v>Origen</x:v>
      </x:c>
      <x:c r="F7" s="8" t="str">
        <x:v>Mín.</x:v>
      </x:c>
      <x:c r="G7" s="8" t="str">
        <x:v>Máx.</x:v>
      </x:c>
      <x:c r="H7" s="8" t="str">
        <x:v>Validación</x:v>
      </x:c>
      <x:c r="I7" s="8" t="str">
        <x:v>Definición y alcance</x:v>
      </x:c>
    </x:row>
    <x:row r="8" ht="39" customHeight="1">
      <x:c r="A8" s="2"/>
      <x:c r="B8" s="2" t="str">
        <x:v>Pacientes con una visita en el periodo</x:v>
      </x:c>
      <x:c r="C8" s="13" t="n">
        <x:v>200</x:v>
      </x:c>
      <x:c r="D8" s="14" t="str">
        <x:v>visitas</x:v>
      </x:c>
      <x:c r="E8" s="14" t="str">
        <x:v>Sintético</x:v>
      </x:c>
      <x:c r="F8" s="14" t="n">
        <x:v>0</x:v>
      </x:c>
      <x:c r="G8" s="14" t="n">
        <x:v>100000</x:v>
      </x:c>
      <x:c r="H8" s="2" t="str">
        <x:f>IF(ISNUMBER(C8),IF(AND(C8&gt;=F8,C8&lt;=G8,ABS((C8-F8)/1-ROUND((C8-F8)/1,0))&lt;=0.00000001),"Válido","Revisar valor"),"Revisar valor")</x:f>
        <x:v>Válido</x:v>
      </x:c>
      <x:c r="I8" s="12" t="str">
        <x:v>Una visita de combinación por paciente en el periodo. No convierte prevalencia en ciclos.</x:v>
      </x:c>
    </x:row>
    <x:row r="9" ht="39" customHeight="1">
      <x:c r="A9" s="2"/>
      <x:c r="B9" s="2" t="str">
        <x:v>Tecentriq SC en referencia</x:v>
      </x:c>
      <x:c r="C9" s="13" t="n">
        <x:v>0</x:v>
      </x:c>
      <x:c r="D9" s="14" t="str">
        <x:v>%</x:v>
      </x:c>
      <x:c r="E9" s="14" t="str">
        <x:v>Sintético</x:v>
      </x:c>
      <x:c r="F9" s="14" t="n">
        <x:v>0</x:v>
      </x:c>
      <x:c r="G9" s="14" t="n">
        <x:v>100</x:v>
      </x:c>
      <x:c r="H9" s="2" t="str">
        <x:f>IF(ISNUMBER(C9),IF(AND(C9&gt;=F9,C9&lt;=G9,ABS((C9-F9)/1-ROUND((C9-F9)/1,0))&lt;=0.00000001),"Válido","Revisar valor"),"Revisar valor")</x:f>
        <x:v>Válido</x:v>
      </x:c>
      <x:c r="I9" s="12" t="str">
        <x:v>Proporción de visitas con Tecentriq SC; bevacizumab sigue IV.</x:v>
      </x:c>
    </x:row>
    <x:row r="10" ht="39" customHeight="1">
      <x:c r="A10" s="2"/>
      <x:c r="B10" s="2" t="str">
        <x:v>Tecentriq SC en alternativa</x:v>
      </x:c>
      <x:c r="C10" s="13" t="n">
        <x:v>60</x:v>
      </x:c>
      <x:c r="D10" s="14" t="str">
        <x:v>%</x:v>
      </x:c>
      <x:c r="E10" s="14" t="str">
        <x:v>Sintético</x:v>
      </x:c>
      <x:c r="F10" s="14" t="n">
        <x:v>0</x:v>
      </x:c>
      <x:c r="G10" s="14" t="n">
        <x:v>100</x:v>
      </x:c>
      <x:c r="H10" s="2" t="str">
        <x:f>IF(ISNUMBER(C10),IF(AND(C10&gt;=F10,C10&lt;=G10,ABS((C10-F10)/1-ROUND((C10-F10)/1,0))&lt;=0.00000001),"Válido","Revisar valor"),"Revisar valor")</x:f>
        <x:v>Válido</x:v>
      </x:c>
      <x:c r="I10" s="12" t="str">
        <x:v>Se aplica la misma mezcla de tipos de visita a ambas vías.</x:v>
      </x:c>
    </x:row>
    <x:row r="11" ht="39" customHeight="1">
      <x:c r="A11" s="2"/>
      <x:c r="B11" s="2" t="str">
        <x:v>Sillones dedicados equivalentes</x:v>
      </x:c>
      <x:c r="C11" s="13" t="n">
        <x:v>4</x:v>
      </x:c>
      <x:c r="D11" s="14" t="str">
        <x:v>sillones</x:v>
      </x:c>
      <x:c r="E11" s="14" t="str">
        <x:v>Supuesto</x:v>
      </x:c>
      <x:c r="F11" s="14" t="n">
        <x:v>0</x:v>
      </x:c>
      <x:c r="G11" s="14" t="n">
        <x:v>1000</x:v>
      </x:c>
      <x:c r="H11" s="2" t="str">
        <x:f>IF(ISNUMBER(C11),IF(AND(C11&gt;=F11,C11&lt;=G11,ABS((C11-F11)/1-ROUND((C11-F11)/1,0))&lt;=0.00000001),"Válido","Revisar valor"),"Revisar valor")</x:f>
        <x:v>Válido</x:v>
      </x:c>
      <x:c r="I11" s="12" t="str">
        <x:v>Capacidad reservada a esta cohorte; no todos los sillones del hospital.</x:v>
      </x:c>
    </x:row>
    <x:row r="12" ht="39" customHeight="1">
      <x:c r="A12" s="2"/>
      <x:c r="B12" s="2" t="str">
        <x:v>Días de actividad del periodo</x:v>
      </x:c>
      <x:c r="C12" s="13" t="n">
        <x:v>20</x:v>
      </x:c>
      <x:c r="D12" s="14" t="str">
        <x:v>días</x:v>
      </x:c>
      <x:c r="E12" s="14" t="str">
        <x:v>Supuesto</x:v>
      </x:c>
      <x:c r="F12" s="14" t="n">
        <x:v>0</x:v>
      </x:c>
      <x:c r="G12" s="14" t="n">
        <x:v>366</x:v>
      </x:c>
      <x:c r="H12" s="2" t="str">
        <x:f>IF(ISNUMBER(C12),IF(AND(C12&gt;=F12,C12&lt;=G12,ABS((C12-F12)/1-ROUND((C12-F12)/1,0))&lt;=0.00000001),"Válido","Revisar valor"),"Revisar valor")</x:f>
        <x:v>Válido</x:v>
      </x:c>
      <x:c r="I12" s="12" t="str">
        <x:v>Periodo de planificación editable; no extrapolación automática mensual.</x:v>
      </x:c>
    </x:row>
    <x:row r="13" ht="39" customHeight="1">
      <x:c r="A13" s="2"/>
      <x:c r="B13" s="2" t="str">
        <x:v>Horas por día</x:v>
      </x:c>
      <x:c r="C13" s="15" t="n">
        <x:v>8</x:v>
      </x:c>
      <x:c r="D13" s="14" t="str">
        <x:v>h/día</x:v>
      </x:c>
      <x:c r="E13" s="14" t="str">
        <x:v>Supuesto</x:v>
      </x:c>
      <x:c r="F13" s="14" t="n">
        <x:v>0</x:v>
      </x:c>
      <x:c r="G13" s="14" t="n">
        <x:v>24</x:v>
      </x:c>
      <x:c r="H13" s="2" t="str">
        <x:f>IF(ISNUMBER(C13),IF(AND(C13&gt;=F13,C13&lt;=G13,ABS((C13-F13)/0.5-ROUND((C13-F13)/0.5,0))&lt;=0.00000001),"Válido","Revisar valor"),"Revisar valor")</x:f>
        <x:v>Válido</x:v>
      </x:c>
      <x:c r="I13" s="12" t="str">
        <x:v>Capacidad nominal por sillón.</x:v>
      </x:c>
    </x:row>
    <x:row r="14" ht="39" customHeight="1">
      <x:c r="A14" s="2"/>
      <x:c r="B14" s="2" t="str">
        <x:v>Disponibilidad de sillones</x:v>
      </x:c>
      <x:c r="C14" s="13" t="n">
        <x:v>85</x:v>
      </x:c>
      <x:c r="D14" s="14" t="str">
        <x:v>%</x:v>
      </x:c>
      <x:c r="E14" s="14" t="str">
        <x:v>Supuesto</x:v>
      </x:c>
      <x:c r="F14" s="14" t="n">
        <x:v>0</x:v>
      </x:c>
      <x:c r="G14" s="14" t="n">
        <x:v>100</x:v>
      </x:c>
      <x:c r="H14" s="2" t="str">
        <x:f>IF(ISNUMBER(C14),IF(AND(C14&gt;=F14,C14&lt;=G14,ABS((C14-F14)/1-ROUND((C14-F14)/1,0))&lt;=0.00000001),"Válido","Revisar valor"),"Revisar valor")</x:f>
        <x:v>Válido</x:v>
      </x:c>
      <x:c r="I14" s="12" t="str">
        <x:v>Descuenta otras indisponibilidades; excluye recambio, ya sumado por visita. Evitar descontarlo dos veces.</x:v>
      </x:c>
    </x:row>
    <x:row r="15" ht="39" customHeight="1">
      <x:c r="A15" s="2"/>
      <x:c r="B15" s="2" t="str">
        <x:v>Enfermeras/os dedicados equivalentes</x:v>
      </x:c>
      <x:c r="C15" s="15" t="n">
        <x:v>1</x:v>
      </x:c>
      <x:c r="D15" s="14" t="str">
        <x:v>equivalentes</x:v>
      </x:c>
      <x:c r="E15" s="14" t="str">
        <x:v>Supuesto</x:v>
      </x:c>
      <x:c r="F15" s="14" t="n">
        <x:v>0</x:v>
      </x:c>
      <x:c r="G15" s="14" t="n">
        <x:v>1000</x:v>
      </x:c>
      <x:c r="H15" s="2" t="str">
        <x:f>IF(ISNUMBER(C15),IF(AND(C15&gt;=F15,C15&lt;=G15,ABS((C15-F15)/0.1-ROUND((C15-F15)/0.1,0))&lt;=0.00000001),"Válido","Revisar valor"),"Revisar valor")</x:f>
        <x:v>Válido</x:v>
      </x:c>
      <x:c r="I15" s="12" t="str">
        <x:v>Fracción del equipo reservada a esta cohorte.</x:v>
      </x:c>
    </x:row>
    <x:row r="16" ht="39" customHeight="1">
      <x:c r="A16" s="2"/>
      <x:c r="B16" s="2" t="str">
        <x:v>Disponibilidad de enfermería</x:v>
      </x:c>
      <x:c r="C16" s="13" t="n">
        <x:v>80</x:v>
      </x:c>
      <x:c r="D16" s="14" t="str">
        <x:v>%</x:v>
      </x:c>
      <x:c r="E16" s="14" t="str">
        <x:v>Supuesto</x:v>
      </x:c>
      <x:c r="F16" s="14" t="n">
        <x:v>0</x:v>
      </x:c>
      <x:c r="G16" s="14" t="n">
        <x:v>100</x:v>
      </x:c>
      <x:c r="H16" s="2" t="str">
        <x:f>IF(ISNUMBER(C16),IF(AND(C16&gt;=F16,C16&lt;=G16,ABS((C16-F16)/1-ROUND((C16-F16)/1,0))&lt;=0.00000001),"Válido","Revisar valor"),"Revisar valor")</x:f>
        <x:v>Válido</x:v>
      </x:c>
      <x:c r="I16" s="12" t="str">
        <x:v>Tiempo disponible para las tareas activas modeladas.</x:v>
      </x:c>
    </x:row>
    <x:row r="17" ht="39" customHeight="1">
      <x:c r="A17" s="2"/>
      <x:c r="B17" s="2" t="str">
        <x:v>Primeras administraciones</x:v>
      </x:c>
      <x:c r="C17" s="13" t="n">
        <x:v>10</x:v>
      </x:c>
      <x:c r="D17" s="14" t="str">
        <x:v>%</x:v>
      </x:c>
      <x:c r="E17" s="14" t="str">
        <x:v>Sintético</x:v>
      </x:c>
      <x:c r="F17" s="14" t="n">
        <x:v>0</x:v>
      </x:c>
      <x:c r="G17" s="14" t="n">
        <x:v>100</x:v>
      </x:c>
      <x:c r="H17" s="2" t="str">
        <x:f>IF(ISNUMBER(C17),IF(AND(C17&gt;=F17,C17&lt;=G17,ABS((C17-F17)/1-ROUND((C17-F17)/1,0))&lt;=0.00000001),"Válido","Revisar valor"),"Revisar valor")</x:f>
        <x:v>Válido</x:v>
      </x:c>
      <x:c r="I17" s="12" t="str">
        <x:v>Primer atezolizumab y primer bevacizumab, por simplificación.</x:v>
      </x:c>
    </x:row>
    <x:row r="18" ht="39" customHeight="1">
      <x:c r="A18" s="2"/>
      <x:c r="B18" s="2" t="str">
        <x:v>Segundas administraciones</x:v>
      </x:c>
      <x:c r="C18" s="13" t="n">
        <x:v>10</x:v>
      </x:c>
      <x:c r="D18" s="14" t="str">
        <x:v>%</x:v>
      </x:c>
      <x:c r="E18" s="14" t="str">
        <x:v>Sintético</x:v>
      </x:c>
      <x:c r="F18" s="14" t="n">
        <x:v>0</x:v>
      </x:c>
      <x:c r="G18" s="14" t="n">
        <x:v>100</x:v>
      </x:c>
      <x:c r="H18" s="2" t="str">
        <x:f>IF(ISNUMBER(C18),IF(AND(C18&gt;=F18,C18&lt;=G18,ABS((C18-F18)/1-ROUND((C18-F18)/1,0))&lt;=0.00000001),"Válido","Revisar valor"),"Revisar valor")</x:f>
        <x:v>Válido</x:v>
      </x:c>
      <x:c r="I18" s="12" t="str">
        <x:v>Segunda administración de ambos fármacos. El resto es tercera o posterior.</x:v>
      </x:c>
    </x:row>
    <x:row r="19" ht="39" customHeight="1">
      <x:c r="A19" s="2"/>
      <x:c r="B19" s="2" t="str">
        <x:v>Admisión y valoración inicial</x:v>
      </x:c>
      <x:c r="C19" s="13" t="n">
        <x:v>15</x:v>
      </x:c>
      <x:c r="D19" s="14" t="str">
        <x:v>min</x:v>
      </x:c>
      <x:c r="E19" s="14" t="str">
        <x:v>Supuesto</x:v>
      </x:c>
      <x:c r="F19" s="14" t="n">
        <x:v>0</x:v>
      </x:c>
      <x:c r="G19" s="14" t="n">
        <x:v>240</x:v>
      </x:c>
      <x:c r="H19" s="2" t="str">
        <x:f>IF(ISNUMBER(C19),IF(AND(C19&gt;=F19,C19&lt;=G19,ABS((C19-F19)/1-ROUND((C19-F19)/1,0))&lt;=0.00000001),"Válido","Revisar valor"),"Revisar valor")</x:f>
        <x:v>Válido</x:v>
      </x:c>
      <x:c r="I19" s="12" t="str">
        <x:v>Tiempo de estancia, fuera de sillón; incluye toma de constantes.</x:v>
      </x:c>
    </x:row>
    <x:row r="20" ht="39" customHeight="1">
      <x:c r="A20" s="2"/>
      <x:c r="B20" s="2" t="str">
        <x:v>Validación, preparación y espera de farmacia</x:v>
      </x:c>
      <x:c r="C20" s="13" t="n">
        <x:v>25</x:v>
      </x:c>
      <x:c r="D20" s="14" t="str">
        <x:v>min</x:v>
      </x:c>
      <x:c r="E20" s="14" t="str">
        <x:v>Supuesto</x:v>
      </x:c>
      <x:c r="F20" s="14" t="n">
        <x:v>0</x:v>
      </x:c>
      <x:c r="G20" s="14" t="n">
        <x:v>360</x:v>
      </x:c>
      <x:c r="H20" s="2" t="str">
        <x:f>IF(ISNUMBER(C20),IF(AND(C20&gt;=F20,C20&lt;=G20,ABS((C20-F20)/1-ROUND((C20-F20)/1,0))&lt;=0.00000001),"Válido","Revisar valor"),"Revisar valor")</x:f>
        <x:v>Válido</x:v>
      </x:c>
      <x:c r="I20" s="12" t="str">
        <x:v>Transcurre después de la admisión y antes del sillón. No se suma trabajo de farmacia como enfermería.</x:v>
      </x:c>
    </x:row>
    <x:row r="21" ht="39" customHeight="1">
      <x:c r="A21" s="2"/>
      <x:c r="B21" s="2" t="str">
        <x:v>Espera local adicional</x:v>
      </x:c>
      <x:c r="C21" s="13" t="n">
        <x:v>10</x:v>
      </x:c>
      <x:c r="D21" s="14" t="str">
        <x:v>min</x:v>
      </x:c>
      <x:c r="E21" s="14" t="str">
        <x:v>Supuesto</x:v>
      </x:c>
      <x:c r="F21" s="14" t="n">
        <x:v>0</x:v>
      </x:c>
      <x:c r="G21" s="14" t="n">
        <x:v>480</x:v>
      </x:c>
      <x:c r="H21" s="2" t="str">
        <x:f>IF(ISNUMBER(C21),IF(AND(C21&gt;=F21,C21&lt;=G21,ABS((C21-F21)/1-ROUND((C21-F21)/1,0))&lt;=0.00000001),"Válido","Revisar valor"),"Revisar valor")</x:f>
        <x:v>Válido</x:v>
      </x:c>
      <x:c r="I21" s="12" t="str">
        <x:v>Entrada manual; no calculada a partir de la saturación.</x:v>
      </x:c>
    </x:row>
    <x:row r="22" ht="39" customHeight="1">
      <x:c r="A22" s="2"/>
      <x:c r="B22" s="2" t="str">
        <x:v>Acceso venoso y preparación en sillón</x:v>
      </x:c>
      <x:c r="C22" s="13" t="n">
        <x:v>10</x:v>
      </x:c>
      <x:c r="D22" s="14" t="str">
        <x:v>min</x:v>
      </x:c>
      <x:c r="E22" s="14" t="str">
        <x:v>Supuesto</x:v>
      </x:c>
      <x:c r="F22" s="14" t="n">
        <x:v>0</x:v>
      </x:c>
      <x:c r="G22" s="14" t="n">
        <x:v>120</x:v>
      </x:c>
      <x:c r="H22" s="2" t="str">
        <x:f>IF(ISNUMBER(C22),IF(AND(C22&gt;=F22,C22&lt;=G22,ABS((C22-F22)/1-ROUND((C22-F22)/1,0))&lt;=0.00000001),"Válido","Revisar valor"),"Revisar valor")</x:f>
        <x:v>Válido</x:v>
      </x:c>
      <x:c r="I22" s="12" t="str">
        <x:v>Se mantiene en ambas vías por bevacizumab IV.</x:v>
      </x:c>
    </x:row>
    <x:row r="23" ht="39" customHeight="1">
      <x:c r="A23" s="2"/>
      <x:c r="B23" s="2" t="str">
        <x:v>Tiempo local adicional de administración IV</x:v>
      </x:c>
      <x:c r="C23" s="13" t="n">
        <x:v>0</x:v>
      </x:c>
      <x:c r="D23" s="14" t="str">
        <x:v>min</x:v>
      </x:c>
      <x:c r="E23" s="14" t="str">
        <x:v>Supuesto</x:v>
      </x:c>
      <x:c r="F23" s="14" t="n">
        <x:v>0</x:v>
      </x:c>
      <x:c r="G23" s="14" t="n">
        <x:v>240</x:v>
      </x:c>
      <x:c r="H23" s="2" t="str">
        <x:f>IF(ISNUMBER(C23),IF(AND(C23&gt;=F23,C23&lt;=G23,ABS((C23-F23)/1-ROUND((C23-F23)/1,0))&lt;=0.00000001),"Válido","Revisar valor"),"Revisar valor")</x:f>
        <x:v>Válido</x:v>
      </x:c>
      <x:c r="I23" s="12" t="str">
        <x:v>Se suma a 60/30 min de Tecentriq; no reduce los tiempos de ficha.</x:v>
      </x:c>
    </x:row>
    <x:row r="24" ht="39" customHeight="1">
      <x:c r="A24" s="2"/>
      <x:c r="B24" s="2" t="str">
        <x:v>Tiempo local adicional de administración SC</x:v>
      </x:c>
      <x:c r="C24" s="13" t="n">
        <x:v>0</x:v>
      </x:c>
      <x:c r="D24" s="14" t="str">
        <x:v>min</x:v>
      </x:c>
      <x:c r="E24" s="14" t="str">
        <x:v>Supuesto</x:v>
      </x:c>
      <x:c r="F24" s="14" t="n">
        <x:v>0</x:v>
      </x:c>
      <x:c r="G24" s="14" t="n">
        <x:v>240</x:v>
      </x:c>
      <x:c r="H24" s="2" t="str">
        <x:f>IF(ISNUMBER(C24),IF(AND(C24&gt;=F24,C24&lt;=G24,ABS((C24-F24)/1-ROUND((C24-F24)/1,0))&lt;=0.00000001),"Válido","Revisar valor"),"Revisar valor")</x:f>
        <x:v>Válido</x:v>
      </x:c>
      <x:c r="I24" s="12" t="str">
        <x:v>Se suma a los aproximadamente 7 min de inyección.</x:v>
      </x:c>
    </x:row>
    <x:row r="25" ht="39" customHeight="1">
      <x:c r="A25" s="2"/>
      <x:c r="B25" s="2" t="str">
        <x:v>Tiempo local adicional de bevacizumab</x:v>
      </x:c>
      <x:c r="C25" s="13" t="n">
        <x:v>0</x:v>
      </x:c>
      <x:c r="D25" s="14" t="str">
        <x:v>min</x:v>
      </x:c>
      <x:c r="E25" s="14" t="str">
        <x:v>Supuesto</x:v>
      </x:c>
      <x:c r="F25" s="14" t="n">
        <x:v>0</x:v>
      </x:c>
      <x:c r="G25" s="14" t="n">
        <x:v>240</x:v>
      </x:c>
      <x:c r="H25" s="2" t="str">
        <x:f>IF(ISNUMBER(C25),IF(AND(C25&gt;=F25,C25&lt;=G25,ABS((C25-F25)/1-ROUND((C25-F25)/1,0))&lt;=0.00000001),"Válido","Revisar valor"),"Revisar valor")</x:f>
        <x:v>Válido</x:v>
      </x:c>
      <x:c r="I25" s="12" t="str">
        <x:v>Se suma a 90/60/30 min según tolerancia.</x:v>
      </x:c>
    </x:row>
    <x:row r="26" ht="39" customHeight="1">
      <x:c r="A26" s="2"/>
      <x:c r="B26" s="2" t="str">
        <x:v>Observación tras Tecentriq IV, primera</x:v>
      </x:c>
      <x:c r="C26" s="13" t="n">
        <x:v>30</x:v>
      </x:c>
      <x:c r="D26" s="14" t="str">
        <x:v>min</x:v>
      </x:c>
      <x:c r="E26" s="14" t="str">
        <x:v>Supuesto</x:v>
      </x:c>
      <x:c r="F26" s="14" t="n">
        <x:v>0</x:v>
      </x:c>
      <x:c r="G26" s="14" t="n">
        <x:v>240</x:v>
      </x:c>
      <x:c r="H26" s="2" t="str">
        <x:f>IF(ISNUMBER(C26),IF(AND(C26&gt;=F26,C26&lt;=G26,ABS((C26-F26)/1-ROUND((C26-F26)/1,0))&lt;=0.00000001),"Válido","Revisar valor"),"Revisar valor")</x:f>
        <x:v>Válido</x:v>
      </x:c>
      <x:c r="I26" s="12" t="str">
        <x:v>Duración local ficticia; no es una obligación de ficha técnica.</x:v>
      </x:c>
    </x:row>
    <x:row r="27" ht="39" customHeight="1">
      <x:c r="A27" s="2"/>
      <x:c r="B27" s="2" t="str">
        <x:v>Observación tras Tecentriq IV, posteriores</x:v>
      </x:c>
      <x:c r="C27" s="13" t="n">
        <x:v>15</x:v>
      </x:c>
      <x:c r="D27" s="14" t="str">
        <x:v>min</x:v>
      </x:c>
      <x:c r="E27" s="14" t="str">
        <x:v>Supuesto</x:v>
      </x:c>
      <x:c r="F27" s="14" t="n">
        <x:v>0</x:v>
      </x:c>
      <x:c r="G27" s="14" t="n">
        <x:v>240</x:v>
      </x:c>
      <x:c r="H27" s="2" t="str">
        <x:f>IF(ISNUMBER(C27),IF(AND(C27&gt;=F27,C27&lt;=G27,ABS((C27-F27)/1-ROUND((C27-F27)/1,0))&lt;=0.00000001),"Válido","Revisar valor"),"Revisar valor")</x:f>
        <x:v>Válido</x:v>
      </x:c>
      <x:c r="I27" s="12" t="str">
        <x:v>Duración local ficticia; no es una obligación de ficha técnica.</x:v>
      </x:c>
    </x:row>
    <x:row r="28" ht="39" customHeight="1">
      <x:c r="A28" s="2"/>
      <x:c r="B28" s="2" t="str">
        <x:v>Observación tras Tecentriq SC, primera</x:v>
      </x:c>
      <x:c r="C28" s="13" t="n">
        <x:v>30</x:v>
      </x:c>
      <x:c r="D28" s="14" t="str">
        <x:v>min</x:v>
      </x:c>
      <x:c r="E28" s="14" t="str">
        <x:v>Supuesto</x:v>
      </x:c>
      <x:c r="F28" s="14" t="n">
        <x:v>0</x:v>
      </x:c>
      <x:c r="G28" s="14" t="n">
        <x:v>240</x:v>
      </x:c>
      <x:c r="H28" s="2" t="str">
        <x:f>IF(ISNUMBER(C28),IF(AND(C28&gt;=F28,C28&lt;=G28,ABS((C28-F28)/1-ROUND((C28-F28)/1,0))&lt;=0.00000001),"Válido","Revisar valor"),"Revisar valor")</x:f>
        <x:v>Válido</x:v>
      </x:c>
      <x:c r="I28" s="12" t="str">
        <x:v>Duración local ficticia; no se ha identificado un intervalo obligatorio 30/15 min en la FT.</x:v>
      </x:c>
    </x:row>
    <x:row r="29" ht="39" customHeight="1">
      <x:c r="A29" s="2"/>
      <x:c r="B29" s="2" t="str">
        <x:v>Observación tras Tecentriq SC, posteriores</x:v>
      </x:c>
      <x:c r="C29" s="13" t="n">
        <x:v>15</x:v>
      </x:c>
      <x:c r="D29" s="14" t="str">
        <x:v>min</x:v>
      </x:c>
      <x:c r="E29" s="14" t="str">
        <x:v>Supuesto</x:v>
      </x:c>
      <x:c r="F29" s="14" t="n">
        <x:v>0</x:v>
      </x:c>
      <x:c r="G29" s="14" t="n">
        <x:v>240</x:v>
      </x:c>
      <x:c r="H29" s="2" t="str">
        <x:f>IF(ISNUMBER(C29),IF(AND(C29&gt;=F29,C29&lt;=G29,ABS((C29-F29)/1-ROUND((C29-F29)/1,0))&lt;=0.00000001),"Válido","Revisar valor"),"Revisar valor")</x:f>
        <x:v>Válido</x:v>
      </x:c>
      <x:c r="I29" s="12" t="str">
        <x:v>Duración local ficticia. Una conversión IV a SC no se modela como primera exposición.</x:v>
      </x:c>
    </x:row>
    <x:row r="30" ht="39" customHeight="1">
      <x:c r="A30" s="2"/>
      <x:c r="B30" s="2" t="str">
        <x:v>Transición entre fármacos</x:v>
      </x:c>
      <x:c r="C30" s="13" t="n">
        <x:v>5</x:v>
      </x:c>
      <x:c r="D30" s="14" t="str">
        <x:v>min</x:v>
      </x:c>
      <x:c r="E30" s="14" t="str">
        <x:v>Supuesto</x:v>
      </x:c>
      <x:c r="F30" s="14" t="n">
        <x:v>0</x:v>
      </x:c>
      <x:c r="G30" s="14" t="n">
        <x:v>120</x:v>
      </x:c>
      <x:c r="H30" s="2" t="str">
        <x:f>IF(ISNUMBER(C30),IF(AND(C30&gt;=F30,C30&lt;=G30,ABS((C30-F30)/1-ROUND((C30-F30)/1,0))&lt;=0.00000001),"Válido","Revisar valor"),"Revisar valor")</x:f>
        <x:v>Válido</x:v>
      </x:c>
      <x:c r="I30" s="12" t="str">
        <x:v>Comprobación y lavado/cambio local de línea; después de observación y antes de bevacizumab.</x:v>
      </x:c>
    </x:row>
    <x:row r="31" ht="39" customHeight="1">
      <x:c r="A31" s="2"/>
      <x:c r="B31" s="2" t="str">
        <x:v>Observación después de bevacizumab</x:v>
      </x:c>
      <x:c r="C31" s="13" t="n">
        <x:v>10</x:v>
      </x:c>
      <x:c r="D31" s="14" t="str">
        <x:v>min</x:v>
      </x:c>
      <x:c r="E31" s="14" t="str">
        <x:v>Supuesto</x:v>
      </x:c>
      <x:c r="F31" s="14" t="n">
        <x:v>0</x:v>
      </x:c>
      <x:c r="G31" s="14" t="n">
        <x:v>240</x:v>
      </x:c>
      <x:c r="H31" s="2" t="str">
        <x:f>IF(ISNUMBER(C31),IF(AND(C31&gt;=F31,C31&lt;=G31,ABS((C31-F31)/1-ROUND((C31-F31)/1,0))&lt;=0.00000001),"Válido","Revisar valor"),"Revisar valor")</x:f>
        <x:v>Válido</x:v>
      </x:c>
      <x:c r="I31" s="12" t="str">
        <x:v>Tiempo local en sillón; no requisito temporal publicado.</x:v>
      </x:c>
    </x:row>
    <x:row r="32" ht="39" customHeight="1">
      <x:c r="A32" s="2"/>
      <x:c r="B32" s="2" t="str">
        <x:v>Desconexión y salida del sillón</x:v>
      </x:c>
      <x:c r="C32" s="13" t="n">
        <x:v>5</x:v>
      </x:c>
      <x:c r="D32" s="14" t="str">
        <x:v>min</x:v>
      </x:c>
      <x:c r="E32" s="14" t="str">
        <x:v>Supuesto</x:v>
      </x:c>
      <x:c r="F32" s="14" t="n">
        <x:v>0</x:v>
      </x:c>
      <x:c r="G32" s="14" t="n">
        <x:v>120</x:v>
      </x:c>
      <x:c r="H32" s="2" t="str">
        <x:f>IF(ISNUMBER(C32),IF(AND(C32&gt;=F32,C32&lt;=G32,ABS((C32-F32)/1-ROUND((C32-F32)/1,0))&lt;=0.00000001),"Válido","Revisar valor"),"Revisar valor")</x:f>
        <x:v>Válido</x:v>
      </x:c>
      <x:c r="I32" s="12" t="str">
        <x:v>Incluye cierre del circuito.</x:v>
      </x:c>
    </x:row>
    <x:row r="33" ht="39" customHeight="1">
      <x:c r="A33" s="2"/>
      <x:c r="B33" s="2" t="str">
        <x:v>Limpieza y recambio de sillón</x:v>
      </x:c>
      <x:c r="C33" s="13" t="n">
        <x:v>5</x:v>
      </x:c>
      <x:c r="D33" s="14" t="str">
        <x:v>min</x:v>
      </x:c>
      <x:c r="E33" s="14" t="str">
        <x:v>Supuesto</x:v>
      </x:c>
      <x:c r="F33" s="14" t="n">
        <x:v>0</x:v>
      </x:c>
      <x:c r="G33" s="14" t="n">
        <x:v>120</x:v>
      </x:c>
      <x:c r="H33" s="2" t="str">
        <x:f>IF(ISNUMBER(C33),IF(AND(C33&gt;=F33,C33&lt;=G33,ABS((C33-F33)/1-ROUND((C33-F33)/1,0))&lt;=0.00000001),"Válido","Revisar valor"),"Revisar valor")</x:f>
        <x:v>Válido</x:v>
      </x:c>
      <x:c r="I33" s="12" t="str">
        <x:v>Bloquea el recurso tras la salida; no forma parte de estancia ni de ocupación del paciente.</x:v>
      </x:c>
    </x:row>
    <x:row r="34" ht="39" customHeight="1">
      <x:c r="A34" s="2"/>
      <x:c r="B34" s="2" t="str">
        <x:v>Enfermería: admisión y comprobaciones</x:v>
      </x:c>
      <x:c r="C34" s="13" t="n">
        <x:v>6</x:v>
      </x:c>
      <x:c r="D34" s="14" t="str">
        <x:v>min activos</x:v>
      </x:c>
      <x:c r="E34" s="14" t="str">
        <x:v>Supuesto</x:v>
      </x:c>
      <x:c r="F34" s="14" t="n">
        <x:v>0</x:v>
      </x:c>
      <x:c r="G34" s="14" t="n">
        <x:v>120</x:v>
      </x:c>
      <x:c r="H34" s="2" t="str">
        <x:f>IF(ISNUMBER(C34),IF(AND(C34&gt;=F34,C34&lt;=G34,ABS((C34-F34)/1-ROUND((C34-F34)/1,0))&lt;=0.00000001),"Válido","Revisar valor"),"Revisar valor")</x:f>
        <x:v>Válido</x:v>
      </x:c>
      <x:c r="I34" s="12" t="str">
        <x:v>Incluida en admisión, no añade estancia.</x:v>
      </x:c>
    </x:row>
    <x:row r="35" ht="39" customHeight="1">
      <x:c r="A35" s="2"/>
      <x:c r="B35" s="2" t="str">
        <x:v>Enfermería: acceso y preparación</x:v>
      </x:c>
      <x:c r="C35" s="13" t="n">
        <x:v>8</x:v>
      </x:c>
      <x:c r="D35" s="14" t="str">
        <x:v>min activos</x:v>
      </x:c>
      <x:c r="E35" s="14" t="str">
        <x:v>Supuesto</x:v>
      </x:c>
      <x:c r="F35" s="14" t="n">
        <x:v>0</x:v>
      </x:c>
      <x:c r="G35" s="14" t="n">
        <x:v>120</x:v>
      </x:c>
      <x:c r="H35" s="2" t="str">
        <x:f>IF(ISNUMBER(C35),IF(AND(C35&gt;=F35,C35&lt;=G35,ABS((C35-F35)/1-ROUND((C35-F35)/1,0))&lt;=0.00000001),"Válido","Revisar valor"),"Revisar valor")</x:f>
        <x:v>Válido</x:v>
      </x:c>
      <x:c r="I35" s="12" t="str">
        <x:v>Incluida en acceso venoso.</x:v>
      </x:c>
    </x:row>
    <x:row r="36" ht="39" customHeight="1">
      <x:c r="A36" s="2"/>
      <x:c r="B36" s="2" t="str">
        <x:v>Enfermería: administración de Tecentriq IV</x:v>
      </x:c>
      <x:c r="C36" s="13" t="n">
        <x:v>8</x:v>
      </x:c>
      <x:c r="D36" s="14" t="str">
        <x:v>min activos</x:v>
      </x:c>
      <x:c r="E36" s="14" t="str">
        <x:v>Supuesto</x:v>
      </x:c>
      <x:c r="F36" s="14" t="n">
        <x:v>0</x:v>
      </x:c>
      <x:c r="G36" s="14" t="n">
        <x:v>240</x:v>
      </x:c>
      <x:c r="H36" s="2" t="str">
        <x:f>IF(ISNUMBER(C36),IF(AND(C36&gt;=F36,C36&lt;=G36,ABS((C36-F36)/1-ROUND((C36-F36)/1,0))&lt;=0.00000001),"Válido","Revisar valor"),"Revisar valor")</x:f>
        <x:v>Válido</x:v>
      </x:c>
      <x:c r="I36" s="12" t="str">
        <x:v>Conexión y vigilancia activa durante la perfusión; no equivale a toda la perfusión.</x:v>
      </x:c>
    </x:row>
    <x:row r="37" ht="39" customHeight="1">
      <x:c r="A37" s="2"/>
      <x:c r="B37" s="2" t="str">
        <x:v>Enfermería: preparación SC adicional</x:v>
      </x:c>
      <x:c r="C37" s="13" t="n">
        <x:v>2</x:v>
      </x:c>
      <x:c r="D37" s="14" t="str">
        <x:v>min activos</x:v>
      </x:c>
      <x:c r="E37" s="14" t="str">
        <x:v>Supuesto</x:v>
      </x:c>
      <x:c r="F37" s="14" t="n">
        <x:v>0</x:v>
      </x:c>
      <x:c r="G37" s="14" t="n">
        <x:v>120</x:v>
      </x:c>
      <x:c r="H37" s="2" t="str">
        <x:f>IF(ISNUMBER(C37),IF(AND(C37&gt;=F37,C37&lt;=G37,ABS((C37-F37)/1-ROUND((C37-F37)/1,0))&lt;=0.00000001),"Válido","Revisar valor"),"Revisar valor")</x:f>
        <x:v>Válido</x:v>
      </x:c>
      <x:c r="I37" s="12" t="str">
        <x:v>Dentro de la fase de acceso/preparación; se suma a la dedicación completa de la inyección SC.</x:v>
      </x:c>
    </x:row>
    <x:row r="38" ht="39" customHeight="1">
      <x:c r="A38" s="2"/>
      <x:c r="B38" s="2" t="str">
        <x:v>Enfermería: observación tras Tecentriq</x:v>
      </x:c>
      <x:c r="C38" s="13" t="n">
        <x:v>3</x:v>
      </x:c>
      <x:c r="D38" s="14" t="str">
        <x:v>min activos</x:v>
      </x:c>
      <x:c r="E38" s="14" t="str">
        <x:v>Supuesto</x:v>
      </x:c>
      <x:c r="F38" s="14" t="n">
        <x:v>0</x:v>
      </x:c>
      <x:c r="G38" s="14" t="n">
        <x:v>240</x:v>
      </x:c>
      <x:c r="H38" s="2" t="str">
        <x:f>IF(ISNUMBER(C38),IF(AND(C38&gt;=F38,C38&lt;=G38,ABS((C38-F38)/1-ROUND((C38-F38)/1,0))&lt;=0.00000001),"Válido","Revisar valor"),"Revisar valor")</x:f>
        <x:v>Válido</x:v>
      </x:c>
      <x:c r="I38" s="12" t="str">
        <x:v>No se añade de nuevo a estancia; debe caber en el intervalo de observación de cada vía.</x:v>
      </x:c>
    </x:row>
    <x:row r="39" ht="39" customHeight="1">
      <x:c r="A39" s="2"/>
      <x:c r="B39" s="2" t="str">
        <x:v>Enfermería: transición</x:v>
      </x:c>
      <x:c r="C39" s="13" t="n">
        <x:v>3</x:v>
      </x:c>
      <x:c r="D39" s="14" t="str">
        <x:v>min activos</x:v>
      </x:c>
      <x:c r="E39" s="14" t="str">
        <x:v>Supuesto</x:v>
      </x:c>
      <x:c r="F39" s="14" t="n">
        <x:v>0</x:v>
      </x:c>
      <x:c r="G39" s="14" t="n">
        <x:v>120</x:v>
      </x:c>
      <x:c r="H39" s="2" t="str">
        <x:f>IF(ISNUMBER(C39),IF(AND(C39&gt;=F39,C39&lt;=G39,ABS((C39-F39)/1-ROUND((C39-F39)/1,0))&lt;=0.00000001),"Válido","Revisar valor"),"Revisar valor")</x:f>
        <x:v>Válido</x:v>
      </x:c>
      <x:c r="I39" s="12" t="str">
        <x:v>Incluida en transición.</x:v>
      </x:c>
    </x:row>
    <x:row r="40" ht="39" customHeight="1">
      <x:c r="A40" s="2"/>
      <x:c r="B40" s="2" t="str">
        <x:v>Enfermería: bevacizumab</x:v>
      </x:c>
      <x:c r="C40" s="13" t="n">
        <x:v>8</x:v>
      </x:c>
      <x:c r="D40" s="14" t="str">
        <x:v>min activos</x:v>
      </x:c>
      <x:c r="E40" s="14" t="str">
        <x:v>Supuesto</x:v>
      </x:c>
      <x:c r="F40" s="14" t="n">
        <x:v>0</x:v>
      </x:c>
      <x:c r="G40" s="14" t="n">
        <x:v>240</x:v>
      </x:c>
      <x:c r="H40" s="2" t="str">
        <x:f>IF(ISNUMBER(C40),IF(AND(C40&gt;=F40,C40&lt;=G40,ABS((C40-F40)/1-ROUND((C40-F40)/1,0))&lt;=0.00000001),"Válido","Revisar valor"),"Revisar valor")</x:f>
        <x:v>Válido</x:v>
      </x:c>
      <x:c r="I40" s="12" t="str">
        <x:v>Conexión y vigilancia activa, incluida en perfusión.</x:v>
      </x:c>
    </x:row>
    <x:row r="41" ht="39" customHeight="1">
      <x:c r="A41" s="2"/>
      <x:c r="B41" s="2" t="str">
        <x:v>Enfermería: observación final</x:v>
      </x:c>
      <x:c r="C41" s="13" t="n">
        <x:v>2</x:v>
      </x:c>
      <x:c r="D41" s="14" t="str">
        <x:v>min activos</x:v>
      </x:c>
      <x:c r="E41" s="14" t="str">
        <x:v>Supuesto</x:v>
      </x:c>
      <x:c r="F41" s="14" t="n">
        <x:v>0</x:v>
      </x:c>
      <x:c r="G41" s="14" t="n">
        <x:v>240</x:v>
      </x:c>
      <x:c r="H41" s="2" t="str">
        <x:f>IF(ISNUMBER(C41),IF(AND(C41&gt;=F41,C41&lt;=G41,ABS((C41-F41)/1-ROUND((C41-F41)/1,0))&lt;=0.00000001),"Válido","Revisar valor"),"Revisar valor")</x:f>
        <x:v>Válido</x:v>
      </x:c>
      <x:c r="I41" s="12" t="str">
        <x:v>Incluida en observación tras bevacizumab.</x:v>
      </x:c>
    </x:row>
    <x:row r="42" ht="39" customHeight="1">
      <x:c r="A42" s="2"/>
      <x:c r="B42" s="2" t="str">
        <x:v>Enfermería: desconexión y documentación</x:v>
      </x:c>
      <x:c r="C42" s="13" t="n">
        <x:v>5</x:v>
      </x:c>
      <x:c r="D42" s="14" t="str">
        <x:v>min activos</x:v>
      </x:c>
      <x:c r="E42" s="14" t="str">
        <x:v>Supuesto</x:v>
      </x:c>
      <x:c r="F42" s="14" t="n">
        <x:v>0</x:v>
      </x:c>
      <x:c r="G42" s="14" t="n">
        <x:v>120</x:v>
      </x:c>
      <x:c r="H42" s="2" t="str">
        <x:f>IF(ISNUMBER(C42),IF(AND(C42&gt;=F42,C42&lt;=G42,ABS((C42-F42)/1-ROUND((C42-F42)/1,0))&lt;=0.00000001),"Válido","Revisar valor"),"Revisar valor")</x:f>
        <x:v>Válido</x:v>
      </x:c>
      <x:c r="I42" s="12" t="str">
        <x:v>Incluida en salida del sillón.</x:v>
      </x:c>
    </x:row>
    <x:row r="43" ht="26" customHeight="1">
      <x:c r="A43" s="2"/>
      <x:c r="B43" s="2"/>
      <x:c r="C43" s="2"/>
      <x:c r="D43" s="2"/>
      <x:c r="E43" s="2"/>
      <x:c r="F43" s="2"/>
      <x:c r="G43" s="2"/>
      <x:c r="H43" s="2"/>
      <x:c r="I43" s="1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12"/>
    </x:row>
    <x:row r="45" ht="34" customHeight="1">
      <x:c r="A45" s="2"/>
      <x:c r="B45" s="8" t="str">
        <x:v>Compatibilidad de tiempos</x:v>
      </x:c>
      <x:c r="C45" s="8" t="str"/>
      <x:c r="D45" s="8" t="str"/>
      <x:c r="E45" s="8" t="str"/>
      <x:c r="F45" s="8" t="str"/>
      <x:c r="G45" s="8" t="str"/>
      <x:c r="H45" s="8" t="str">
        <x:v>Validación</x:v>
      </x:c>
      <x:c r="I45" s="8" t="str">
        <x:v>Motivo</x:v>
      </x:c>
    </x:row>
    <x:row r="46" ht="39" customHeight="1">
      <x:c r="A46" s="2"/>
      <x:c r="B46" s="2" t="str">
        <x:v>Mezcla de primeras y segundas</x:v>
      </x:c>
      <x:c r="C46" s="2"/>
      <x:c r="D46" s="2"/>
      <x:c r="E46" s="2"/>
      <x:c r="F46" s="2"/>
      <x:c r="G46" s="2"/>
      <x:c r="H46" s="2" t="str">
        <x:f>IF(COUNTIFS(H8:H42,"&lt;&gt;Válido")=0,IF(C17+C18&lt;=100,"Válido","Incompatible"),"Revisar valores")</x:f>
        <x:v>Válido</x:v>
      </x:c>
      <x:c r="I46" s="12" t="str">
        <x:v>Las proporciones suman como máximo el 100 %.</x:v>
      </x:c>
    </x:row>
    <x:row r="47" ht="39" customHeight="1">
      <x:c r="A47" s="2"/>
      <x:c r="B47" s="2" t="str">
        <x:v>Enfermería en admisión</x:v>
      </x:c>
      <x:c r="C47" s="2"/>
      <x:c r="D47" s="2"/>
      <x:c r="E47" s="2"/>
      <x:c r="F47" s="2"/>
      <x:c r="G47" s="2"/>
      <x:c r="H47" s="2" t="str">
        <x:f>IF(COUNTIFS(H8:H42,"&lt;&gt;Válido")=0,IF(C34&lt;=C19,"Válido","Incompatible"),"Revisar valores")</x:f>
        <x:v>Válido</x:v>
      </x:c>
      <x:c r="I47" s="12" t="str">
        <x:v>Los minutos activos caben en la fase.</x:v>
      </x:c>
    </x:row>
    <x:row r="48" ht="39" customHeight="1">
      <x:c r="A48" s="2"/>
      <x:c r="B48" s="2" t="str">
        <x:v>Enfermería de acceso y preparación SC</x:v>
      </x:c>
      <x:c r="C48" s="2"/>
      <x:c r="D48" s="2"/>
      <x:c r="E48" s="2"/>
      <x:c r="F48" s="2"/>
      <x:c r="G48" s="2"/>
      <x:c r="H48" s="2" t="str">
        <x:f>IF(COUNTIFS(H8:H42,"&lt;&gt;Válido")=0,IF(C35+C37&lt;=C22,"Válido","Incompatible"),"Revisar valores")</x:f>
        <x:v>Válido</x:v>
      </x:c>
      <x:c r="I48" s="12" t="str">
        <x:v>La preparación adicional SC transcurre dentro del acceso/preparación.</x:v>
      </x:c>
    </x:row>
    <x:row r="49" ht="39" customHeight="1">
      <x:c r="A49" s="2"/>
      <x:c r="B49" s="2" t="str">
        <x:v>Enfermería durante Tecentriq IV</x:v>
      </x:c>
      <x:c r="C49" s="2"/>
      <x:c r="D49" s="2"/>
      <x:c r="E49" s="2"/>
      <x:c r="F49" s="2"/>
      <x:c r="G49" s="2"/>
      <x:c r="H49" s="2" t="str">
        <x:f>IF(COUNTIFS(H8:H42,"&lt;&gt;Válido")=0,IF(C36&lt;=$C$61+C23,"Válido","Incompatible"),"Revisar valores")</x:f>
        <x:v>Válido</x:v>
      </x:c>
      <x:c r="I49" s="12" t="str">
        <x:v>Se contrasta con la fase IV posterior, más corta.</x:v>
      </x:c>
    </x:row>
    <x:row r="50" ht="39" customHeight="1">
      <x:c r="A50" s="2"/>
      <x:c r="B50" s="2" t="str">
        <x:v>Enfermería en observación de Tecentriq</x:v>
      </x:c>
      <x:c r="C50" s="2"/>
      <x:c r="D50" s="2"/>
      <x:c r="E50" s="2"/>
      <x:c r="F50" s="2"/>
      <x:c r="G50" s="2"/>
      <x:c r="H50" s="2" t="str">
        <x:f>IF(COUNTIFS(H8:H42,"&lt;&gt;Válido")=0,IF(C38&lt;=MIN(C26,C27,C28,C29),"Válido","Incompatible"),"Revisar valores")</x:f>
        <x:v>Válido</x:v>
      </x:c>
      <x:c r="I50" s="12" t="str">
        <x:v>La misma dedicación debe caber en las cuatro observaciones locales.</x:v>
      </x:c>
    </x:row>
    <x:row r="51" ht="39" customHeight="1">
      <x:c r="A51" s="2"/>
      <x:c r="B51" s="2" t="str">
        <x:v>Enfermería en transición</x:v>
      </x:c>
      <x:c r="C51" s="2"/>
      <x:c r="D51" s="2"/>
      <x:c r="E51" s="2"/>
      <x:c r="F51" s="2"/>
      <x:c r="G51" s="2"/>
      <x:c r="H51" s="2" t="str">
        <x:f>IF(COUNTIFS(H8:H42,"&lt;&gt;Válido")=0,IF(C39&lt;=C30,"Válido","Incompatible"),"Revisar valores")</x:f>
        <x:v>Válido</x:v>
      </x:c>
      <x:c r="I51" s="12" t="str">
        <x:v>Los minutos activos caben en la fase.</x:v>
      </x:c>
    </x:row>
    <x:row r="52" ht="39" customHeight="1">
      <x:c r="A52" s="2"/>
      <x:c r="B52" s="2" t="str">
        <x:v>Enfermería durante bevacizumab</x:v>
      </x:c>
      <x:c r="C52" s="2"/>
      <x:c r="D52" s="2"/>
      <x:c r="E52" s="2"/>
      <x:c r="F52" s="2"/>
      <x:c r="G52" s="2"/>
      <x:c r="H52" s="2" t="str">
        <x:f>IF(COUNTIFS(H8:H42,"&lt;&gt;Válido")=0,IF(C40&lt;=$C$65+C25,"Válido","Incompatible"),"Revisar valores")</x:f>
        <x:v>Válido</x:v>
      </x:c>
      <x:c r="I52" s="12" t="str">
        <x:v>Se contrasta con la fase posterior, más corta.</x:v>
      </x:c>
    </x:row>
    <x:row r="53" ht="39" customHeight="1">
      <x:c r="A53" s="2"/>
      <x:c r="B53" s="2" t="str">
        <x:v>Enfermería en observación final</x:v>
      </x:c>
      <x:c r="C53" s="2"/>
      <x:c r="D53" s="2"/>
      <x:c r="E53" s="2"/>
      <x:c r="F53" s="2"/>
      <x:c r="G53" s="2"/>
      <x:c r="H53" s="2" t="str">
        <x:f>IF(COUNTIFS(H8:H42,"&lt;&gt;Válido")=0,IF(C41&lt;=C31,"Válido","Incompatible"),"Revisar valores")</x:f>
        <x:v>Válido</x:v>
      </x:c>
      <x:c r="I53" s="12" t="str">
        <x:v>Los minutos activos caben en la fase.</x:v>
      </x:c>
    </x:row>
    <x:row r="54" ht="39" customHeight="1">
      <x:c r="A54" s="2"/>
      <x:c r="B54" s="2" t="str">
        <x:v>Enfermería en salida</x:v>
      </x:c>
      <x:c r="C54" s="2"/>
      <x:c r="D54" s="2"/>
      <x:c r="E54" s="2"/>
      <x:c r="F54" s="2"/>
      <x:c r="G54" s="2"/>
      <x:c r="H54" s="2" t="str">
        <x:f>IF(COUNTIFS(H8:H42,"&lt;&gt;Válido")=0,IF(C42&lt;=C32,"Válido","Incompatible"),"Revisar valores")</x:f>
        <x:v>Válido</x:v>
      </x:c>
      <x:c r="I54" s="12" t="str">
        <x:v>Los minutos activos caben en la fase.</x:v>
      </x:c>
    </x:row>
    <x:row r="55" ht="26" customHeight="1">
      <x:c r="A55" s="2"/>
      <x:c r="B55" s="2"/>
      <x:c r="C55" s="2"/>
      <x:c r="D55" s="2"/>
      <x:c r="E55" s="2"/>
      <x:c r="F55" s="2"/>
      <x:c r="G55" s="2"/>
      <x:c r="H55" s="2"/>
      <x:c r="I55" s="12"/>
    </x:row>
    <x:row r="56" ht="26" customHeight="1">
      <x:c r="A56" s="2"/>
      <x:c r="B56" s="2"/>
      <x:c r="C56" s="2"/>
      <x:c r="D56" s="2"/>
      <x:c r="E56" s="2"/>
      <x:c r="F56" s="2"/>
      <x:c r="G56" s="2"/>
      <x:c r="H56" s="2"/>
      <x:c r="I56" s="12"/>
    </x:row>
    <x:row r="57" ht="26" customHeight="1">
      <x:c r="A57" s="2"/>
      <x:c r="B57" s="2"/>
      <x:c r="C57" s="2"/>
      <x:c r="D57" s="2"/>
      <x:c r="E57" s="2"/>
      <x:c r="F57" s="2"/>
      <x:c r="G57" s="2"/>
      <x:c r="H57" s="2"/>
      <x:c r="I57" s="12"/>
    </x:row>
    <x:row r="58" ht="34" customHeight="1">
      <x:c r="A58" s="2"/>
      <x:c r="B58" s="8" t="str">
        <x:v>Tiempos de ficha técnica</x:v>
      </x:c>
      <x:c r="C58" s="8" t="str">
        <x:v>Minutos</x:v>
      </x:c>
      <x:c r="D58" s="8" t="str">
        <x:v>Unidad</x:v>
      </x:c>
      <x:c r="E58" s="8" t="str">
        <x:v>Origen</x:v>
      </x:c>
      <x:c r="F58" s="8" t="str"/>
      <x:c r="G58" s="8" t="str"/>
      <x:c r="H58" s="8" t="str">
        <x:v>Fuente</x:v>
      </x:c>
      <x:c r="I58" s="8" t="str">
        <x:v>Condición</x:v>
      </x:c>
    </x:row>
    <x:row r="59" ht="26" customHeight="1">
      <x:c r="A59" s="2"/>
      <x:c r="B59" s="2"/>
      <x:c r="C59" s="2"/>
      <x:c r="D59" s="2"/>
      <x:c r="E59" s="2"/>
      <x:c r="F59" s="2"/>
      <x:c r="G59" s="2"/>
      <x:c r="H59" s="2"/>
      <x:c r="I59" s="12"/>
    </x:row>
    <x:row r="60" ht="26" customHeight="1">
      <x:c r="A60" s="2"/>
      <x:c r="B60" s="2" t="str">
        <x:v>Tecentriq IV, primera</x:v>
      </x:c>
      <x:c r="C60" s="2" t="n">
        <x:v>60</x:v>
      </x:c>
      <x:c r="D60" s="2" t="str">
        <x:v>min</x:v>
      </x:c>
      <x:c r="E60" s="2" t="str">
        <x:v>Publicado</x:v>
      </x:c>
      <x:c r="F60" s="2"/>
      <x:c r="G60" s="2"/>
      <x:c r="H60" s="2" t="str">
        <x:v>FT_IV / EMA_TEC</x:v>
      </x:c>
      <x:c r="I60" s="12" t="str">
        <x:v>Primera perfusión.</x:v>
      </x:c>
    </x:row>
    <x:row r="61" ht="26" customHeight="1">
      <x:c r="A61" s="2"/>
      <x:c r="B61" s="2" t="str">
        <x:v>Tecentriq IV, posteriores</x:v>
      </x:c>
      <x:c r="C61" s="2" t="n">
        <x:v>30</x:v>
      </x:c>
      <x:c r="D61" s="2" t="str">
        <x:v>min</x:v>
      </x:c>
      <x:c r="E61" s="2" t="str">
        <x:v>Publicado</x:v>
      </x:c>
      <x:c r="F61" s="2"/>
      <x:c r="G61" s="2"/>
      <x:c r="H61" s="2" t="str">
        <x:v>FT_IV / EMA_TEC</x:v>
      </x:c>
      <x:c r="I61" s="12" t="str">
        <x:v>Si se ha tolerado la perfusión inicial.</x:v>
      </x:c>
    </x:row>
    <x:row r="62" ht="26" customHeight="1">
      <x:c r="A62" s="2"/>
      <x:c r="B62" s="2" t="str">
        <x:v>Tecentriq SC</x:v>
      </x:c>
      <x:c r="C62" s="2" t="n">
        <x:v>7</x:v>
      </x:c>
      <x:c r="D62" s="2" t="str">
        <x:v>min</x:v>
      </x:c>
      <x:c r="E62" s="2" t="str">
        <x:v>Publicado</x:v>
      </x:c>
      <x:c r="F62" s="2"/>
      <x:c r="G62" s="2"/>
      <x:c r="H62" s="2" t="str">
        <x:v>FT_SC / EMA_TEC</x:v>
      </x:c>
      <x:c r="I62" s="12" t="str">
        <x:v>Aproximadamente 7 minutos. Puede variar con tolerabilidad.</x:v>
      </x:c>
    </x:row>
    <x:row r="63" ht="26" customHeight="1">
      <x:c r="A63" s="2"/>
      <x:c r="B63" s="2" t="str">
        <x:v>Bevacizumab, primera</x:v>
      </x:c>
      <x:c r="C63" s="2" t="n">
        <x:v>90</x:v>
      </x:c>
      <x:c r="D63" s="2" t="str">
        <x:v>min</x:v>
      </x:c>
      <x:c r="E63" s="2" t="str">
        <x:v>Publicado</x:v>
      </x:c>
      <x:c r="F63" s="2"/>
      <x:c r="G63" s="2"/>
      <x:c r="H63" s="2" t="str">
        <x:v>FT_BEV</x:v>
      </x:c>
      <x:c r="I63" s="12" t="str">
        <x:v>Primera perfusión.</x:v>
      </x:c>
    </x:row>
    <x:row r="64" ht="26" customHeight="1">
      <x:c r="A64" s="2"/>
      <x:c r="B64" s="2" t="str">
        <x:v>Bevacizumab, segunda</x:v>
      </x:c>
      <x:c r="C64" s="2" t="n">
        <x:v>60</x:v>
      </x:c>
      <x:c r="D64" s="2" t="str">
        <x:v>min</x:v>
      </x:c>
      <x:c r="E64" s="2" t="str">
        <x:v>Publicado</x:v>
      </x:c>
      <x:c r="F64" s="2"/>
      <x:c r="G64" s="2"/>
      <x:c r="H64" s="2" t="str">
        <x:v>FT_BEV</x:v>
      </x:c>
      <x:c r="I64" s="12" t="str">
        <x:v>Si se ha tolerado la primera.</x:v>
      </x:c>
    </x:row>
    <x:row r="65" ht="26" customHeight="1">
      <x:c r="A65" s="2"/>
      <x:c r="B65" s="2" t="str">
        <x:v>Bevacizumab, posteriores</x:v>
      </x:c>
      <x:c r="C65" s="2" t="n">
        <x:v>30</x:v>
      </x:c>
      <x:c r="D65" s="2" t="str">
        <x:v>min</x:v>
      </x:c>
      <x:c r="E65" s="2" t="str">
        <x:v>Publicado</x:v>
      </x:c>
      <x:c r="F65" s="2"/>
      <x:c r="G65" s="2"/>
      <x:c r="H65" s="2" t="str">
        <x:v>FT_BEV</x:v>
      </x:c>
      <x:c r="I65" s="12" t="str">
        <x:v>Si se ha tolerado la segunda.</x:v>
      </x:c>
    </x:row>
    <x:row r="66" ht="26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6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6" customHeight="1">
      <x:c r="A68" s="2"/>
      <x:c r="B68" s="4" t="str">
        <x:v>Los intervalos de observación y tiempos adicionales son supuestos locales. No sustituyen las fichas técnicas ni el protocolo clínico.</x:v>
      </x:c>
      <x:c r="C68" s="2"/>
      <x:c r="D68" s="2"/>
      <x:c r="E68" s="2"/>
      <x:c r="F68" s="2"/>
      <x:c r="G68" s="2"/>
      <x:c r="H68" s="2"/>
      <x:c r="I68" s="2"/>
    </x:row>
    <x:row r="69" ht="26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6" customHeight="1">
      <x:c r="A70" s="2"/>
      <x:c r="B70" s="2"/>
      <x:c r="C70" s="2"/>
      <x:c r="D70" s="2"/>
      <x:c r="E70" s="2"/>
      <x:c r="F70" s="2"/>
      <x:c r="G70" s="2"/>
      <x:c r="H70" s="2"/>
      <x:c r="I70" s="2"/>
    </x:row>
  </x:sheetData>
  <x:conditionalFormatting sqref="H8:H54">
    <x:cfRule type="containsText" dxfId="0" priority="1" operator="containsText" text="Revisar"/>
  </x:conditionalFormatting>
  <x:conditionalFormatting sqref="H46:H54">
    <x:cfRule type="containsText" dxfId="1" priority="2" operator="containsText" text="Incompatible"/>
  </x:conditionalFormatting>
  <x:conditionalFormatting sqref="C5:C5">
    <x:cfRule type="containsText" dxfId="2" priority="3" operator="containsText" text="Revisar"/>
  </x:conditionalFormatting>
  <x:dataValidations count="35">
    <x:dataValidation type="whole" operator="between" sqref="C8">
      <x:formula1>0</x:formula1>
      <x:formula2>100000</x:formula2>
    </x:dataValidation>
    <x:dataValidation type="whole" operator="between" sqref="C9">
      <x:formula1>0</x:formula1>
      <x:formula2>100</x:formula2>
    </x:dataValidation>
    <x:dataValidation type="whole" operator="between" sqref="C10">
      <x:formula1>0</x:formula1>
      <x:formula2>100</x:formula2>
    </x:dataValidation>
    <x:dataValidation type="whole" operator="between" sqref="C11">
      <x:formula1>0</x:formula1>
      <x:formula2>1000</x:formula2>
    </x:dataValidation>
    <x:dataValidation type="whole" operator="between" sqref="C12">
      <x:formula1>0</x:formula1>
      <x:formula2>366</x:formula2>
    </x:dataValidation>
    <x:dataValidation type="decimal" operator="between" sqref="C13">
      <x:formula1>0</x:formula1>
      <x:formula2>24</x:formula2>
    </x:dataValidation>
    <x:dataValidation type="whole" operator="between" sqref="C14">
      <x:formula1>0</x:formula1>
      <x:formula2>100</x:formula2>
    </x:dataValidation>
    <x:dataValidation type="decimal" operator="between" sqref="C15">
      <x:formula1>0</x:formula1>
      <x:formula2>1000</x:formula2>
    </x:dataValidation>
    <x:dataValidation type="whole" operator="between" sqref="C16">
      <x:formula1>0</x:formula1>
      <x:formula2>100</x:formula2>
    </x:dataValidation>
    <x:dataValidation type="whole" operator="between" sqref="C17">
      <x:formula1>0</x:formula1>
      <x:formula2>100</x:formula2>
    </x:dataValidation>
    <x:dataValidation type="whole" operator="between" sqref="C18">
      <x:formula1>0</x:formula1>
      <x:formula2>100</x:formula2>
    </x:dataValidation>
    <x:dataValidation type="whole" operator="between" sqref="C19">
      <x:formula1>0</x:formula1>
      <x:formula2>240</x:formula2>
    </x:dataValidation>
    <x:dataValidation type="whole" operator="between" sqref="C20">
      <x:formula1>0</x:formula1>
      <x:formula2>360</x:formula2>
    </x:dataValidation>
    <x:dataValidation type="whole" operator="between" sqref="C21">
      <x:formula1>0</x:formula1>
      <x:formula2>480</x:formula2>
    </x:dataValidation>
    <x:dataValidation type="whole" operator="between" sqref="C22">
      <x:formula1>0</x:formula1>
      <x:formula2>120</x:formula2>
    </x:dataValidation>
    <x:dataValidation type="whole" operator="between" sqref="C23">
      <x:formula1>0</x:formula1>
      <x:formula2>240</x:formula2>
    </x:dataValidation>
    <x:dataValidation type="whole" operator="between" sqref="C24">
      <x:formula1>0</x:formula1>
      <x:formula2>240</x:formula2>
    </x:dataValidation>
    <x:dataValidation type="whole" operator="between" sqref="C25">
      <x:formula1>0</x:formula1>
      <x:formula2>240</x:formula2>
    </x:dataValidation>
    <x:dataValidation type="whole" operator="between" sqref="C26">
      <x:formula1>0</x:formula1>
      <x:formula2>240</x:formula2>
    </x:dataValidation>
    <x:dataValidation type="whole" operator="between" sqref="C27">
      <x:formula1>0</x:formula1>
      <x:formula2>240</x:formula2>
    </x:dataValidation>
    <x:dataValidation type="whole" operator="between" sqref="C28">
      <x:formula1>0</x:formula1>
      <x:formula2>240</x:formula2>
    </x:dataValidation>
    <x:dataValidation type="whole" operator="between" sqref="C29">
      <x:formula1>0</x:formula1>
      <x:formula2>240</x:formula2>
    </x:dataValidation>
    <x:dataValidation type="whole" operator="between" sqref="C30">
      <x:formula1>0</x:formula1>
      <x:formula2>120</x:formula2>
    </x:dataValidation>
    <x:dataValidation type="whole" operator="between" sqref="C31">
      <x:formula1>0</x:formula1>
      <x:formula2>240</x:formula2>
    </x:dataValidation>
    <x:dataValidation type="whole" operator="between" sqref="C32">
      <x:formula1>0</x:formula1>
      <x:formula2>120</x:formula2>
    </x:dataValidation>
    <x:dataValidation type="whole" operator="between" sqref="C33">
      <x:formula1>0</x:formula1>
      <x:formula2>120</x:formula2>
    </x:dataValidation>
    <x:dataValidation type="whole" operator="between" sqref="C34">
      <x:formula1>0</x:formula1>
      <x:formula2>120</x:formula2>
    </x:dataValidation>
    <x:dataValidation type="whole" operator="between" sqref="C35">
      <x:formula1>0</x:formula1>
      <x:formula2>120</x:formula2>
    </x:dataValidation>
    <x:dataValidation type="whole" operator="between" sqref="C36">
      <x:formula1>0</x:formula1>
      <x:formula2>240</x:formula2>
    </x:dataValidation>
    <x:dataValidation type="whole" operator="between" sqref="C37">
      <x:formula1>0</x:formula1>
      <x:formula2>120</x:formula2>
    </x:dataValidation>
    <x:dataValidation type="whole" operator="between" sqref="C38">
      <x:formula1>0</x:formula1>
      <x:formula2>240</x:formula2>
    </x:dataValidation>
    <x:dataValidation type="whole" operator="between" sqref="C39">
      <x:formula1>0</x:formula1>
      <x:formula2>120</x:formula2>
    </x:dataValidation>
    <x:dataValidation type="whole" operator="between" sqref="C40">
      <x:formula1>0</x:formula1>
      <x:formula2>240</x:formula2>
    </x:dataValidation>
    <x:dataValidation type="whole" operator="between" sqref="C41">
      <x:formula1>0</x:formula1>
      <x:formula2>240</x:formula2>
    </x:dataValidation>
    <x:dataValidation type="whole" operator="between" sqref="C42">
      <x:formula1>0</x:formula1>
      <x:formula2>120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3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6" customHeight="1">
      <x:c r="A2" s="2"/>
      <x:c r="B2" s="3" t="str">
        <x:v>Seis circuitos de la combinación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6" customHeight="1">
      <x:c r="A3" s="2"/>
      <x:c r="B3" s="4" t="str">
        <x:v>Una fila por vía y etapa. Minutos por visita. Ambas vías conservan bevacizumab IV y acceso venoso.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6" customHeight="1">
      <x:c r="A5" s="2"/>
      <x:c r="B5" s="2" t="str">
        <x:v>Estado de las entradas</x:v>
      </x:c>
      <x:c r="C5" s="2"/>
      <x:c r="D5" s="2" t="str">
        <x:f>'Parámetros'!C5</x:f>
        <x:v>Válido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4" customHeight="1">
      <x:c r="A7" s="2"/>
      <x:c r="B7" s="8" t="str">
        <x:v>Vía</x:v>
      </x:c>
      <x:c r="C7" s="8" t="str">
        <x:v>Etapa</x:v>
      </x:c>
      <x:c r="D7" s="8" t="str">
        <x:v>Peso etapa</x:v>
      </x:c>
      <x:c r="E7" s="8" t="str">
        <x:v>Atezolizumab</x:v>
      </x:c>
      <x:c r="F7" s="8" t="str">
        <x:v>Bevacizumab</x:v>
      </x:c>
      <x:c r="G7" s="8" t="str">
        <x:v>Observación ate</x:v>
      </x:c>
      <x:c r="H7" s="8" t="str">
        <x:v>Antes del sillón</x:v>
      </x:c>
      <x:c r="I7" s="8" t="str">
        <x:v>Administración</x:v>
      </x:c>
      <x:c r="J7" s="8" t="str">
        <x:v>Ocupación paciente</x:v>
      </x:c>
      <x:c r="K7" s="8" t="str">
        <x:v>Estancia</x:v>
      </x:c>
      <x:c r="L7" s="8" t="str">
        <x:v>Bloqueo sillón</x:v>
      </x:c>
      <x:c r="M7" s="8" t="str">
        <x:v>Enfermería activa</x:v>
      </x:c>
      <x:c r="N7" s="8" t="str">
        <x:v>Peso referencia</x:v>
      </x:c>
      <x:c r="O7" s="8" t="str">
        <x:v>Peso alternativa</x:v>
      </x:c>
      <x:c r="P7" s="2"/>
    </x:row>
    <x:row r="8" ht="36" customHeight="1">
      <x:c r="A8" s="2"/>
      <x:c r="B8" s="2" t="str">
        <x:v>IV</x:v>
      </x:c>
      <x:c r="C8" s="12" t="str">
        <x:v>Primera</x:v>
      </x:c>
      <x:c r="D8" s="18" t="n">
        <x:f>IF('Parámetros'!$C$5="Válido",('Parámetros'!$C$17)/100,"n.a.")</x:f>
        <x:v>0.1</x:v>
      </x:c>
      <x:c r="E8" s="19" t="n">
        <x:f>IF('Parámetros'!$C$5="Válido",'Parámetros'!$C$60+'Parámetros'!$C$23,"n.a.")</x:f>
        <x:v>60</x:v>
      </x:c>
      <x:c r="F8" s="19" t="n">
        <x:f>IF('Parámetros'!$C$5="Válido",'Parámetros'!$C$63+'Parámetros'!$C$25,"n.a.")</x:f>
        <x:v>90</x:v>
      </x:c>
      <x:c r="G8" s="19" t="n">
        <x:f>IF('Parámetros'!$C$5="Válido",'Parámetros'!$C$26,"n.a.")</x:f>
        <x:v>30</x:v>
      </x:c>
      <x:c r="H8" s="19" t="n">
        <x:f>IF('Parámetros'!$C$5="Válido",'Parámetros'!$C$19+'Parámetros'!$C$20+'Parámetros'!$C$21,"n.a.")</x:f>
        <x:v>50</x:v>
      </x:c>
      <x:c r="I8" s="19" t="n">
        <x:f>IF('Parámetros'!$C$5="Válido",E8+F8,"n.a.")</x:f>
        <x:v>150</x:v>
      </x:c>
      <x:c r="J8" s="19" t="n">
        <x:f>IF('Parámetros'!$C$5="Válido",'Parámetros'!$C$22+I8+G8+'Parámetros'!$C$30+'Parámetros'!$C$31+'Parámetros'!$C$32,"n.a.")</x:f>
        <x:v>210</x:v>
      </x:c>
      <x:c r="K8" s="19" t="n">
        <x:f>IF('Parámetros'!$C$5="Válido",H8+J8,"n.a.")</x:f>
        <x:v>260</x:v>
      </x:c>
      <x:c r="L8" s="19" t="n">
        <x:f>IF('Parámetros'!$C$5="Válido",J8+'Parámetros'!$C$33,"n.a.")</x:f>
        <x:v>215</x:v>
      </x:c>
      <x:c r="M8" s="19" t="n">
        <x:f>IF('Parámetros'!$C$5="Válido",'Parámetros'!$C$34+'Parámetros'!$C$35+'Parámetros'!$C$36+'Parámetros'!$C$38+'Parámetros'!$C$39+'Parámetros'!$C$40+'Parámetros'!$C$41+'Parámetros'!$C$42,"n.a.")</x:f>
        <x:v>43</x:v>
      </x:c>
      <x:c r="N8" s="18" t="n">
        <x:f>IF('Parámetros'!$C$5="Válido",D8*(1-'Parámetros'!$C$9/100),"n.a.")</x:f>
        <x:v>0.1</x:v>
      </x:c>
      <x:c r="O8" s="18" t="n">
        <x:f>IF('Parámetros'!$C$5="Válido",D8*(1-'Parámetros'!$C$10/100),"n.a.")</x:f>
        <x:v>0.04000000000000001</x:v>
      </x:c>
      <x:c r="P8" s="2"/>
    </x:row>
    <x:row r="9" ht="36" customHeight="1">
      <x:c r="A9" s="2"/>
      <x:c r="B9" s="2" t="str">
        <x:v>IV</x:v>
      </x:c>
      <x:c r="C9" s="12" t="str">
        <x:v>Segunda</x:v>
      </x:c>
      <x:c r="D9" s="18" t="n">
        <x:f>IF('Parámetros'!$C$5="Válido",('Parámetros'!$C$18)/100,"n.a.")</x:f>
        <x:v>0.1</x:v>
      </x:c>
      <x:c r="E9" s="19" t="n">
        <x:f>IF('Parámetros'!$C$5="Válido",'Parámetros'!$C$61+'Parámetros'!$C$23,"n.a.")</x:f>
        <x:v>30</x:v>
      </x:c>
      <x:c r="F9" s="19" t="n">
        <x:f>IF('Parámetros'!$C$5="Válido",'Parámetros'!$C$64+'Parámetros'!$C$25,"n.a.")</x:f>
        <x:v>60</x:v>
      </x:c>
      <x:c r="G9" s="19" t="n">
        <x:f>IF('Parámetros'!$C$5="Válido",'Parámetros'!$C$27,"n.a.")</x:f>
        <x:v>15</x:v>
      </x:c>
      <x:c r="H9" s="19" t="n">
        <x:f>IF('Parámetros'!$C$5="Válido",'Parámetros'!$C$19+'Parámetros'!$C$20+'Parámetros'!$C$21,"n.a.")</x:f>
        <x:v>50</x:v>
      </x:c>
      <x:c r="I9" s="19" t="n">
        <x:f>IF('Parámetros'!$C$5="Válido",E9+F9,"n.a.")</x:f>
        <x:v>90</x:v>
      </x:c>
      <x:c r="J9" s="19" t="n">
        <x:f>IF('Parámetros'!$C$5="Válido",'Parámetros'!$C$22+I9+G9+'Parámetros'!$C$30+'Parámetros'!$C$31+'Parámetros'!$C$32,"n.a.")</x:f>
        <x:v>135</x:v>
      </x:c>
      <x:c r="K9" s="19" t="n">
        <x:f>IF('Parámetros'!$C$5="Válido",H9+J9,"n.a.")</x:f>
        <x:v>185</x:v>
      </x:c>
      <x:c r="L9" s="19" t="n">
        <x:f>IF('Parámetros'!$C$5="Válido",J9+'Parámetros'!$C$33,"n.a.")</x:f>
        <x:v>140</x:v>
      </x:c>
      <x:c r="M9" s="19" t="n">
        <x:f>IF('Parámetros'!$C$5="Válido",'Parámetros'!$C$34+'Parámetros'!$C$35+'Parámetros'!$C$36+'Parámetros'!$C$38+'Parámetros'!$C$39+'Parámetros'!$C$40+'Parámetros'!$C$41+'Parámetros'!$C$42,"n.a.")</x:f>
        <x:v>43</x:v>
      </x:c>
      <x:c r="N9" s="18" t="n">
        <x:f>IF('Parámetros'!$C$5="Válido",D9*(1-'Parámetros'!$C$9/100),"n.a.")</x:f>
        <x:v>0.1</x:v>
      </x:c>
      <x:c r="O9" s="18" t="n">
        <x:f>IF('Parámetros'!$C$5="Válido",D9*(1-'Parámetros'!$C$10/100),"n.a.")</x:f>
        <x:v>0.04000000000000001</x:v>
      </x:c>
      <x:c r="P9" s="2"/>
    </x:row>
    <x:row r="10" ht="36" customHeight="1">
      <x:c r="A10" s="2"/>
      <x:c r="B10" s="2" t="str">
        <x:v>IV</x:v>
      </x:c>
      <x:c r="C10" s="12" t="str">
        <x:v>Tercera o posterior</x:v>
      </x:c>
      <x:c r="D10" s="18" t="n">
        <x:f>IF('Parámetros'!$C$5="Válido",(100-'Parámetros'!$C$17-'Parámetros'!$C$18)/100,"n.a.")</x:f>
        <x:v>0.8</x:v>
      </x:c>
      <x:c r="E10" s="19" t="n">
        <x:f>IF('Parámetros'!$C$5="Válido",'Parámetros'!$C$61+'Parámetros'!$C$23,"n.a.")</x:f>
        <x:v>30</x:v>
      </x:c>
      <x:c r="F10" s="19" t="n">
        <x:f>IF('Parámetros'!$C$5="Válido",'Parámetros'!$C$65+'Parámetros'!$C$25,"n.a.")</x:f>
        <x:v>30</x:v>
      </x:c>
      <x:c r="G10" s="19" t="n">
        <x:f>IF('Parámetros'!$C$5="Válido",'Parámetros'!$C$27,"n.a.")</x:f>
        <x:v>15</x:v>
      </x:c>
      <x:c r="H10" s="19" t="n">
        <x:f>IF('Parámetros'!$C$5="Válido",'Parámetros'!$C$19+'Parámetros'!$C$20+'Parámetros'!$C$21,"n.a.")</x:f>
        <x:v>50</x:v>
      </x:c>
      <x:c r="I10" s="19" t="n">
        <x:f>IF('Parámetros'!$C$5="Válido",E10+F10,"n.a.")</x:f>
        <x:v>60</x:v>
      </x:c>
      <x:c r="J10" s="19" t="n">
        <x:f>IF('Parámetros'!$C$5="Válido",'Parámetros'!$C$22+I10+G10+'Parámetros'!$C$30+'Parámetros'!$C$31+'Parámetros'!$C$32,"n.a.")</x:f>
        <x:v>105</x:v>
      </x:c>
      <x:c r="K10" s="19" t="n">
        <x:f>IF('Parámetros'!$C$5="Válido",H10+J10,"n.a.")</x:f>
        <x:v>155</x:v>
      </x:c>
      <x:c r="L10" s="19" t="n">
        <x:f>IF('Parámetros'!$C$5="Válido",J10+'Parámetros'!$C$33,"n.a.")</x:f>
        <x:v>110</x:v>
      </x:c>
      <x:c r="M10" s="19" t="n">
        <x:f>IF('Parámetros'!$C$5="Válido",'Parámetros'!$C$34+'Parámetros'!$C$35+'Parámetros'!$C$36+'Parámetros'!$C$38+'Parámetros'!$C$39+'Parámetros'!$C$40+'Parámetros'!$C$41+'Parámetros'!$C$42,"n.a.")</x:f>
        <x:v>43</x:v>
      </x:c>
      <x:c r="N10" s="18" t="n">
        <x:f>IF('Parámetros'!$C$5="Válido",D10*(1-'Parámetros'!$C$9/100),"n.a.")</x:f>
        <x:v>0.8</x:v>
      </x:c>
      <x:c r="O10" s="18" t="n">
        <x:f>IF('Parámetros'!$C$5="Válido",D10*(1-'Parámetros'!$C$10/100),"n.a.")</x:f>
        <x:v>0.32000000000000006</x:v>
      </x:c>
      <x:c r="P10" s="2"/>
    </x:row>
    <x:row r="11" ht="36" customHeight="1">
      <x:c r="A11" s="2"/>
      <x:c r="B11" s="2" t="str">
        <x:v>SC</x:v>
      </x:c>
      <x:c r="C11" s="12" t="str">
        <x:v>Primera</x:v>
      </x:c>
      <x:c r="D11" s="18" t="n">
        <x:f>IF('Parámetros'!$C$5="Válido",('Parámetros'!$C$17)/100,"n.a.")</x:f>
        <x:v>0.1</x:v>
      </x:c>
      <x:c r="E11" s="19" t="n">
        <x:f>IF('Parámetros'!$C$5="Válido",'Parámetros'!$C$62+'Parámetros'!$C$24,"n.a.")</x:f>
        <x:v>7</x:v>
      </x:c>
      <x:c r="F11" s="19" t="n">
        <x:f>IF('Parámetros'!$C$5="Válido",'Parámetros'!$C$63+'Parámetros'!$C$25,"n.a.")</x:f>
        <x:v>90</x:v>
      </x:c>
      <x:c r="G11" s="19" t="n">
        <x:f>IF('Parámetros'!$C$5="Válido",'Parámetros'!$C$28,"n.a.")</x:f>
        <x:v>30</x:v>
      </x:c>
      <x:c r="H11" s="19" t="n">
        <x:f>IF('Parámetros'!$C$5="Válido",'Parámetros'!$C$19+'Parámetros'!$C$20+'Parámetros'!$C$21,"n.a.")</x:f>
        <x:v>50</x:v>
      </x:c>
      <x:c r="I11" s="19" t="n">
        <x:f>IF('Parámetros'!$C$5="Válido",E11+F11,"n.a.")</x:f>
        <x:v>97</x:v>
      </x:c>
      <x:c r="J11" s="19" t="n">
        <x:f>IF('Parámetros'!$C$5="Válido",'Parámetros'!$C$22+I11+G11+'Parámetros'!$C$30+'Parámetros'!$C$31+'Parámetros'!$C$32,"n.a.")</x:f>
        <x:v>157</x:v>
      </x:c>
      <x:c r="K11" s="19" t="n">
        <x:f>IF('Parámetros'!$C$5="Válido",H11+J11,"n.a.")</x:f>
        <x:v>207</x:v>
      </x:c>
      <x:c r="L11" s="19" t="n">
        <x:f>IF('Parámetros'!$C$5="Válido",J11+'Parámetros'!$C$33,"n.a.")</x:f>
        <x:v>162</x:v>
      </x:c>
      <x:c r="M11" s="19" t="n">
        <x:f>IF('Parámetros'!$C$5="Válido",'Parámetros'!$C$34+'Parámetros'!$C$35+'Parámetros'!$C$37+E11+'Parámetros'!$C$38+'Parámetros'!$C$39+'Parámetros'!$C$40+'Parámetros'!$C$41+'Parámetros'!$C$42,"n.a.")</x:f>
        <x:v>44</x:v>
      </x:c>
      <x:c r="N11" s="18" t="n">
        <x:f>IF('Parámetros'!$C$5="Válido",D11*'Parámetros'!$C$9/100,"n.a.")</x:f>
        <x:v>0</x:v>
      </x:c>
      <x:c r="O11" s="18" t="n">
        <x:f>IF('Parámetros'!$C$5="Válido",D11*'Parámetros'!$C$10/100,"n.a.")</x:f>
        <x:v>0.06</x:v>
      </x:c>
      <x:c r="P11" s="2"/>
    </x:row>
    <x:row r="12" ht="36" customHeight="1">
      <x:c r="A12" s="2"/>
      <x:c r="B12" s="2" t="str">
        <x:v>SC</x:v>
      </x:c>
      <x:c r="C12" s="12" t="str">
        <x:v>Segunda</x:v>
      </x:c>
      <x:c r="D12" s="18" t="n">
        <x:f>IF('Parámetros'!$C$5="Válido",('Parámetros'!$C$18)/100,"n.a.")</x:f>
        <x:v>0.1</x:v>
      </x:c>
      <x:c r="E12" s="19" t="n">
        <x:f>IF('Parámetros'!$C$5="Válido",'Parámetros'!$C$62+'Parámetros'!$C$24,"n.a.")</x:f>
        <x:v>7</x:v>
      </x:c>
      <x:c r="F12" s="19" t="n">
        <x:f>IF('Parámetros'!$C$5="Válido",'Parámetros'!$C$64+'Parámetros'!$C$25,"n.a.")</x:f>
        <x:v>60</x:v>
      </x:c>
      <x:c r="G12" s="19" t="n">
        <x:f>IF('Parámetros'!$C$5="Válido",'Parámetros'!$C$29,"n.a.")</x:f>
        <x:v>15</x:v>
      </x:c>
      <x:c r="H12" s="19" t="n">
        <x:f>IF('Parámetros'!$C$5="Válido",'Parámetros'!$C$19+'Parámetros'!$C$20+'Parámetros'!$C$21,"n.a.")</x:f>
        <x:v>50</x:v>
      </x:c>
      <x:c r="I12" s="19" t="n">
        <x:f>IF('Parámetros'!$C$5="Válido",E12+F12,"n.a.")</x:f>
        <x:v>67</x:v>
      </x:c>
      <x:c r="J12" s="19" t="n">
        <x:f>IF('Parámetros'!$C$5="Válido",'Parámetros'!$C$22+I12+G12+'Parámetros'!$C$30+'Parámetros'!$C$31+'Parámetros'!$C$32,"n.a.")</x:f>
        <x:v>112</x:v>
      </x:c>
      <x:c r="K12" s="19" t="n">
        <x:f>IF('Parámetros'!$C$5="Válido",H12+J12,"n.a.")</x:f>
        <x:v>162</x:v>
      </x:c>
      <x:c r="L12" s="19" t="n">
        <x:f>IF('Parámetros'!$C$5="Válido",J12+'Parámetros'!$C$33,"n.a.")</x:f>
        <x:v>117</x:v>
      </x:c>
      <x:c r="M12" s="19" t="n">
        <x:f>IF('Parámetros'!$C$5="Válido",'Parámetros'!$C$34+'Parámetros'!$C$35+'Parámetros'!$C$37+E12+'Parámetros'!$C$38+'Parámetros'!$C$39+'Parámetros'!$C$40+'Parámetros'!$C$41+'Parámetros'!$C$42,"n.a.")</x:f>
        <x:v>44</x:v>
      </x:c>
      <x:c r="N12" s="18" t="n">
        <x:f>IF('Parámetros'!$C$5="Válido",D12*'Parámetros'!$C$9/100,"n.a.")</x:f>
        <x:v>0</x:v>
      </x:c>
      <x:c r="O12" s="18" t="n">
        <x:f>IF('Parámetros'!$C$5="Válido",D12*'Parámetros'!$C$10/100,"n.a.")</x:f>
        <x:v>0.06</x:v>
      </x:c>
      <x:c r="P12" s="2"/>
    </x:row>
    <x:row r="13" ht="36" customHeight="1">
      <x:c r="A13" s="2"/>
      <x:c r="B13" s="2" t="str">
        <x:v>SC</x:v>
      </x:c>
      <x:c r="C13" s="12" t="str">
        <x:v>Tercera o posterior</x:v>
      </x:c>
      <x:c r="D13" s="18" t="n">
        <x:f>IF('Parámetros'!$C$5="Válido",(100-'Parámetros'!$C$17-'Parámetros'!$C$18)/100,"n.a.")</x:f>
        <x:v>0.8</x:v>
      </x:c>
      <x:c r="E13" s="19" t="n">
        <x:f>IF('Parámetros'!$C$5="Válido",'Parámetros'!$C$62+'Parámetros'!$C$24,"n.a.")</x:f>
        <x:v>7</x:v>
      </x:c>
      <x:c r="F13" s="19" t="n">
        <x:f>IF('Parámetros'!$C$5="Válido",'Parámetros'!$C$65+'Parámetros'!$C$25,"n.a.")</x:f>
        <x:v>30</x:v>
      </x:c>
      <x:c r="G13" s="19" t="n">
        <x:f>IF('Parámetros'!$C$5="Válido",'Parámetros'!$C$29,"n.a.")</x:f>
        <x:v>15</x:v>
      </x:c>
      <x:c r="H13" s="19" t="n">
        <x:f>IF('Parámetros'!$C$5="Válido",'Parámetros'!$C$19+'Parámetros'!$C$20+'Parámetros'!$C$21,"n.a.")</x:f>
        <x:v>50</x:v>
      </x:c>
      <x:c r="I13" s="19" t="n">
        <x:f>IF('Parámetros'!$C$5="Válido",E13+F13,"n.a.")</x:f>
        <x:v>37</x:v>
      </x:c>
      <x:c r="J13" s="19" t="n">
        <x:f>IF('Parámetros'!$C$5="Válido",'Parámetros'!$C$22+I13+G13+'Parámetros'!$C$30+'Parámetros'!$C$31+'Parámetros'!$C$32,"n.a.")</x:f>
        <x:v>82</x:v>
      </x:c>
      <x:c r="K13" s="19" t="n">
        <x:f>IF('Parámetros'!$C$5="Válido",H13+J13,"n.a.")</x:f>
        <x:v>132</x:v>
      </x:c>
      <x:c r="L13" s="19" t="n">
        <x:f>IF('Parámetros'!$C$5="Válido",J13+'Parámetros'!$C$33,"n.a.")</x:f>
        <x:v>87</x:v>
      </x:c>
      <x:c r="M13" s="19" t="n">
        <x:f>IF('Parámetros'!$C$5="Válido",'Parámetros'!$C$34+'Parámetros'!$C$35+'Parámetros'!$C$37+E13+'Parámetros'!$C$38+'Parámetros'!$C$39+'Parámetros'!$C$40+'Parámetros'!$C$41+'Parámetros'!$C$42,"n.a.")</x:f>
        <x:v>44</x:v>
      </x:c>
      <x:c r="N13" s="18" t="n">
        <x:f>IF('Parámetros'!$C$5="Válido",D13*'Parámetros'!$C$9/100,"n.a.")</x:f>
        <x:v>0</x:v>
      </x:c>
      <x:c r="O13" s="18" t="n">
        <x:f>IF('Parámetros'!$C$5="Válido",D13*'Parámetros'!$C$10/100,"n.a.")</x:f>
        <x:v>0.48</x:v>
      </x:c>
      <x:c r="P13" s="2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6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34" customHeight="1">
      <x:c r="A16" s="2"/>
      <x:c r="B16" s="8" t="str">
        <x:v>Definición</x:v>
      </x:c>
      <x:c r="C16" s="8" t="str">
        <x:v>Cálculo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39" customHeight="1">
      <x:c r="A17" s="2"/>
      <x:c r="B17" s="12" t="str">
        <x:v>Administración</x:v>
      </x:c>
      <x:c r="C17" s="2" t="str">
        <x:v>Atezolizumab + bevacizumab. La reducción de atezolizumab no elimina la perfusión de bevacizumab.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39" customHeight="1">
      <x:c r="A18" s="2"/>
      <x:c r="B18" s="12" t="str">
        <x:v>Ocupación del paciente</x:v>
      </x:c>
      <x:c r="C18" s="2" t="str">
        <x:v>Acceso + administración + observación de atezolizumab + transición + observación final + salida.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39" customHeight="1">
      <x:c r="A19" s="2"/>
      <x:c r="B19" s="12" t="str">
        <x:v>Estancia del paciente</x:v>
      </x:c>
      <x:c r="C19" s="2" t="str">
        <x:v>Admisión + farmacia + espera local + ocupación del paciente. No incluye recambio.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39" customHeight="1">
      <x:c r="A20" s="2"/>
      <x:c r="B20" s="12" t="str">
        <x:v>Bloqueo del sillón</x:v>
      </x:c>
      <x:c r="C20" s="2" t="str">
        <x:v>Ocupación del paciente + limpieza y recambio, aunque el paciente ya haya salido.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39" customHeight="1">
      <x:c r="A21" s="2"/>
      <x:c r="B21" s="12" t="str">
        <x:v>Enfermería activa</x:v>
      </x:c>
      <x:c r="C21" s="2" t="str">
        <x:v>Tareas activas dentro de cada fase. En SC se suma la inyección completa y preparación SC adicional. No se añade a estancia.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39" customHeight="1">
      <x:c r="A22" s="2"/>
      <x:c r="B22" s="12" t="str">
        <x:v>Secuencia</x:v>
      </x:c>
      <x:c r="C22" s="2" t="str">
        <x:v>Admisión → farmacia → espera → acceso → atezolizumab → observación → transición → bevacizumab → observación final → salida → recambio.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39" customHeight="1">
      <x:c r="A23" s="2"/>
      <x:c r="B23" s="12" t="str">
        <x:v>Simplificación de tolerancia</x:v>
      </x:c>
      <x:c r="C23" s="2" t="str">
        <x:v>Primera/segunda/posterior sincronizadas para ambos fármacos. Posteriores suponen perfusiones previas toleradas. Cambiar vía no reinicia etapa.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39" customHeight="1">
      <x:c r="A24" s="2"/>
      <x:c r="B24" s="12" t="str">
        <x:v>Límites del circuito</x:v>
      </x:c>
      <x:c r="C24" s="2" t="str">
        <x:v>Sin solapamientos, agenda ni colas endógenas. Recambio de sillón a cargo de apoyo; no se añade a enfermería.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4" hidden="0" customWidth="1"/>
    <x:col min="4" max="4" width="58" hidden="0" customWidth="1"/>
    <x:col min="5" max="5" width="68" hidden="0" customWidth="1"/>
    <x:col min="6" max="6" width="85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2"/>
      <x:c r="B2" s="3" t="str">
        <x:v>Fuentes, supuestos y límites</x:v>
      </x:c>
      <x:c r="C2" s="2"/>
      <x:c r="D2" s="2"/>
      <x:c r="E2" s="2"/>
      <x:c r="F2" s="2"/>
    </x:row>
    <x:row r="3" ht="26" customHeight="1">
      <x:c r="A3" s="2"/>
      <x:c r="B3" s="4" t="str">
        <x:v>Fuentes consultadas: 11/09/2026. Ejemplo totalmente sintético de un hospital ficticio; sin datos asistenciales observados.</x:v>
      </x:c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34" customHeight="1">
      <x:c r="A5" s="2"/>
      <x:c r="B5" s="8" t="str">
        <x:v>ID</x:v>
      </x:c>
      <x:c r="C5" s="8" t="str">
        <x:v>Tipo de dato</x:v>
      </x:c>
      <x:c r="D5" s="8" t="str">
        <x:v>Dato o supuesto</x:v>
      </x:c>
      <x:c r="E5" s="8" t="str">
        <x:v>Cómo se utiliza</x:v>
      </x:c>
      <x:c r="F5" s="8" t="str">
        <x:v>Referencia</x:v>
      </x:c>
    </x:row>
    <x:row r="6" ht="80" customHeight="1">
      <x:c r="A6" s="2"/>
      <x:c r="B6" s="12" t="str">
        <x:v>D00</x:v>
      </x:c>
      <x:c r="C6" s="12" t="str">
        <x:v>Origen del ejemplo</x:v>
      </x:c>
      <x:c r="D6" s="12" t="str">
        <x:v>Ejemplo totalmente sintético de un hospital ficticio; sin datos asistenciales observados.</x:v>
      </x:c>
      <x:c r="E6" s="12" t="str">
        <x:v>Cambiar los valores permite explorar hipótesis operativas.</x:v>
      </x:c>
      <x:c r="F6" s="12" t="str">
        <x:v>No representa resultados de un hospital real.</x:v>
      </x:c>
    </x:row>
    <x:row r="7" ht="80" customHeight="1">
      <x:c r="A7" s="2"/>
      <x:c r="B7" s="12" t="str">
        <x:v>U01</x:v>
      </x:c>
      <x:c r="C7" s="12" t="str">
        <x:v>Cómo usarlo</x:v>
      </x:c>
      <x:c r="D7" s="12" t="str">
        <x:v>Editar las celdas ámbar de Parámetros y leer Comparación.</x:v>
      </x:c>
      <x:c r="E7" s="12" t="str">
        <x:v>Consultar Circuitos para seguir los cálculos y esta hoja para interpretar su alcance.</x:v>
      </x:c>
      <x:c r="F7" s="12" t="str">
        <x:v>Requiere validación local antes de cualquier aplicación profesional.</x:v>
      </x:c>
    </x:row>
    <x:row r="8" ht="80" customHeight="1">
      <x:c r="A8" s="2"/>
      <x:c r="B8" s="12" t="str">
        <x:v>D01</x:v>
      </x:c>
      <x:c r="C8" s="12" t="str">
        <x:v>Datos sintéticos</x:v>
      </x:c>
      <x:c r="D8" s="12" t="str">
        <x:v>200 visitas de combinación, 10 % primeras, 10 % segundas, 80 % posteriores; SC 0 % y 60 %.</x:v>
      </x:c>
      <x:c r="E8" s="12" t="str">
        <x:v>Editables. Una visita por paciente en el periodo. No representa la prevalencia ni la pauta completa.</x:v>
      </x:c>
      <x:c r="F8" s="12" t="str">
        <x:v>Parámetros, filas 8–10 y 17–18.</x:v>
      </x:c>
    </x:row>
    <x:row r="9" ht="80" customHeight="1">
      <x:c r="A9" s="2"/>
      <x:c r="B9" s="12" t="str">
        <x:v>D02</x:v>
      </x:c>
      <x:c r="C9" s="12" t="str">
        <x:v>Supuestos operativos</x:v>
      </x:c>
      <x:c r="D9" s="12" t="str">
        <x:v>Sillones, días, jornada, disponibilidades, espera, preparación, observaciones y minutos activos de enfermería.</x:v>
      </x:c>
      <x:c r="E9" s="12" t="str">
        <x:v>Valores ficticios editables que requieren validación local. El recambio es adicional a la disponibilidad.</x:v>
      </x:c>
      <x:c r="F9" s="12" t="str">
        <x:v>Parámetros, filas 11–16 y 19–42.</x:v>
      </x:c>
    </x:row>
    <x:row r="10" ht="80" customHeight="1">
      <x:c r="A10" s="2"/>
      <x:c r="B10" s="12" t="str">
        <x:v>L01</x:v>
      </x:c>
      <x:c r="C10" s="12" t="str">
        <x:v>Limitación clínica</x:v>
      </x:c>
      <x:c r="D10" s="12" t="str">
        <x:v>Las fases primera/segunda/posterior de ambos fármacos se sincronizan. Se asume tolerancia previa en fases posteriores.</x:v>
      </x:c>
      <x:c r="E10" s="12" t="str">
        <x:v>Los tiempos 30/60 min son condicionales a tolerancia; el modelo no evalúa elegibilidad ni reacciones individuales.</x:v>
      </x:c>
      <x:c r="F10" s="12" t="str">
        <x:v>Supuesto del modelo; fichas técnicas, sección 4.2.</x:v>
      </x:c>
    </x:row>
    <x:row r="11" ht="80" customHeight="1">
      <x:c r="A11" s="2"/>
      <x:c r="B11" s="12" t="str">
        <x:v>L02</x:v>
      </x:c>
      <x:c r="C11" s="12" t="str">
        <x:v>Supuesto de circuito</x:v>
      </x:c>
      <x:c r="D11" s="12" t="str">
        <x:v>Fases secuenciales, sin solapamientos. Farmacia termina antes del sillón. Una persona realiza cada tarea activa.</x:v>
      </x:c>
      <x:c r="E11" s="12" t="str">
        <x:v>Estancia, sillón y enfermería se calculan por separado; no se suman minutos activos dos veces.</x:v>
      </x:c>
      <x:c r="F11" s="12" t="str">
        <x:v>Circuitos, definiciones y fórmulas.</x:v>
      </x:c>
    </x:row>
    <x:row r="12" ht="80" customHeight="1">
      <x:c r="A12" s="2"/>
      <x:c r="B12" s="12" t="str">
        <x:v>L03</x:v>
      </x:c>
      <x:c r="C12" s="12" t="str">
        <x:v>Limitación operativa</x:v>
      </x:c>
      <x:c r="D12" s="12" t="str">
        <x:v>Carga agregada no equivale a agenda ni colas. No se evalúa restricción de farmacia o disponibilidad de otros profesionales.</x:v>
      </x:c>
      <x:c r="E12" s="12" t="str">
        <x:v>No se convierten minutos liberados en plazas adicionales, costes ni ahorro monetario.</x:v>
      </x:c>
      <x:c r="F12" s="12" t="str">
        <x:v>Comparación, cargas y balances.</x:v>
      </x:c>
    </x:row>
    <x:row r="13" ht="80" customHeight="1">
      <x:c r="A13" s="2"/>
      <x:c r="B13" s="12" t="str">
        <x:v>L04</x:v>
      </x:c>
      <x:c r="C13" s="12" t="str">
        <x:v>Datos clínicos no verificados</x:v>
      </x:c>
      <x:c r="D13" s="12" t="str">
        <x:v>No se ha verificado selección clínica de pacientes ficticios, tolerancia individual, hemorragia/varices ni resultados del cambio de vía.</x:v>
      </x:c>
      <x:c r="E13" s="12" t="str">
        <x:v>Es una comparación operativa para profesionales. La decisión clínica requiere ficha técnica y protocolo aplicable.</x:v>
      </x:c>
      <x:c r="F13" s="12" t="str">
        <x:v>El ejemplo no incluye validación clínica individual.</x:v>
      </x:c>
    </x:row>
    <x:row r="14" ht="26" customHeight="1">
      <x:c r="A14" s="2"/>
      <x:c r="B14" s="12"/>
      <x:c r="C14" s="12"/>
      <x:c r="D14" s="12"/>
      <x:c r="E14" s="12"/>
      <x:c r="F14" s="12"/>
    </x:row>
    <x:row r="15" ht="26" customHeight="1">
      <x:c r="A15" s="2"/>
      <x:c r="B15" s="12"/>
      <x:c r="C15" s="12"/>
      <x:c r="D15" s="12"/>
      <x:c r="E15" s="12"/>
      <x:c r="F15" s="12"/>
    </x:row>
    <x:row r="16" ht="34" customHeight="1">
      <x:c r="A16" s="2"/>
      <x:c r="B16" s="8" t="str">
        <x:v>ID</x:v>
      </x:c>
      <x:c r="C16" s="8" t="str">
        <x:v>Organismo</x:v>
      </x:c>
      <x:c r="D16" s="8" t="str">
        <x:v>Documento consultado</x:v>
      </x:c>
      <x:c r="E16" s="8" t="str">
        <x:v>Dato usado / sección</x:v>
      </x:c>
      <x:c r="F16" s="8" t="str">
        <x:v>Enlace</x:v>
      </x:c>
    </x:row>
    <x:row r="17" ht="82" customHeight="1">
      <x:c r="A17" s="2"/>
      <x:c r="B17" s="12" t="str">
        <x:v>FT_IV</x:v>
      </x:c>
      <x:c r="C17" s="12" t="str">
        <x:v>AEMPS CIMA</x:v>
      </x:c>
      <x:c r="D17" s="12" t="str">
        <x:v>AEMPS CIMA · Tecentriq 1.200 mg concentrado para solución para perfusión</x:v>
      </x:c>
      <x:c r="E17" s="12" t="str">
        <x:v>4.1; 4.2 tabla 1 y Forma de administración; 4.4; 10. Ficha técnica en español. Consulta: 11/09/2026. Verificar la versión vigente antes de uso profesional.</x:v>
      </x:c>
      <x:c r="F17" s="12" t="str">
        <x:v>https://cima.aemps.es/cima/dochtml/ft/1171220001/FT_1171220001.html</x:v>
      </x:c>
    </x:row>
    <x:row r="18" ht="82" customHeight="1">
      <x:c r="A18" s="2"/>
      <x:c r="B18" s="12" t="str">
        <x:v>FT_SC</x:v>
      </x:c>
      <x:c r="C18" s="12" t="str">
        <x:v>AEMPS CIMA</x:v>
      </x:c>
      <x:c r="D18" s="12" t="str">
        <x:v>AEMPS CIMA · Tecentriq 1.875 mg solución inyectable</x:v>
      </x:c>
      <x:c r="E18" s="12" t="str">
        <x:v>4.1; 4.2 tabla 1 y Forma de administración; 4.4; 6.6; 10. Ficha técnica en español. Consulta: 11/09/2026. Verificar la versión vigente antes de uso profesional.</x:v>
      </x:c>
      <x:c r="F18" s="12" t="str">
        <x:v>https://cima.aemps.es/cima/dochtml/ft/1171220003/FT_1171220003.html</x:v>
      </x:c>
    </x:row>
    <x:row r="19" ht="82" customHeight="1">
      <x:c r="A19" s="2"/>
      <x:c r="B19" s="12" t="str">
        <x:v>FT_BEV</x:v>
      </x:c>
      <x:c r="C19" s="12" t="str">
        <x:v>AEMPS CIMA</x:v>
      </x:c>
      <x:c r="D19" s="12" t="str">
        <x:v>AEMPS CIMA · Avastin 25 mg/ml concentrado para solución para perfusión</x:v>
      </x:c>
      <x:c r="E19" s="12" t="str">
        <x:v>4.1; 4.2 Forma de administración; 4.4; 6.6; 10. Ficha técnica en español. Consulta: 11/09/2026. Verificar la versión vigente antes de uso profesional.</x:v>
      </x:c>
      <x:c r="F19" s="12" t="str">
        <x:v>https://cima.aemps.es/cima/dochtml/ft/04300002/FT_04300002.html</x:v>
      </x:c>
    </x:row>
    <x:row r="20" ht="82" customHeight="1">
      <x:c r="A20" s="2"/>
      <x:c r="B20" s="12" t="str">
        <x:v>EMA_TEC</x:v>
      </x:c>
      <x:c r="C20" s="12" t="str">
        <x:v>EMA</x:v>
      </x:c>
      <x:c r="D20" s="12" t="str">
        <x:v>EMA · Tecentriq · Product information (English)</x:v>
      </x:c>
      <x:c r="E20" s="12" t="str">
        <x:v>IV pp. 3–5 y 11; SC pp. 69–71 y 76 (paginación PDF); secciones 4.1, 4.2, 4.4. Información del producto en inglés. Consulta: 11/09/2026. Actualización del índice EMA: 21/07/2026.</x:v>
      </x:c>
      <x:c r="F20" s="12" t="str">
        <x:v>https://www.ema.europa.eu/en/documents/product-information/tecentriq-epar-product-information_en.pdf</x:v>
      </x:c>
    </x:row>
    <x:row r="21" ht="82" customHeight="1">
      <x:c r="A21" s="2"/>
      <x:c r="B21" s="12" t="str">
        <x:v>EMA_TEC_INDEX</x:v>
      </x:c>
      <x:c r="C21" s="12" t="str">
        <x:v>EMA</x:v>
      </x:c>
      <x:c r="D21" s="12" t="str">
        <x:v>EMA · Tecentriq · índice EPAR y fecha de actualización</x:v>
      </x:c>
      <x:c r="E21" s="12" t="str">
        <x:v>Product information. Índice del medicamento. Consulta: 11/09/2026. Actualización del índice EMA: 21/07/2026.</x:v>
      </x:c>
      <x:c r="F21" s="12" t="str">
        <x:v>https://www.ema.europa.eu/en/medicines/human/EPAR/tecentriq</x:v>
      </x:c>
    </x:row>
    <x:row r="22" ht="82" customHeight="1">
      <x:c r="A22" s="2"/>
      <x:c r="B22" s="12" t="str">
        <x:v>EMA_BEV_INDEX</x:v>
      </x:c>
      <x:c r="C22" s="12" t="str">
        <x:v>EMA</x:v>
      </x:c>
      <x:c r="D22" s="12" t="str">
        <x:v>EMA · Avastin · índice EPAR y fecha de actualización</x:v>
      </x:c>
      <x:c r="E22" s="12" t="str">
        <x:v>Product information. Índice del medicamento. Tiempos de perfusión según ficha CIMA. Consulta: 11/09/2026. Actualización del índice EMA: 27/01/2026.</x:v>
      </x:c>
      <x:c r="F22" s="12" t="str">
        <x:v>https://www.ema.europa.eu/en/medicines/human/EPAR/avastin</x:v>
      </x:c>
    </x:row>
    <x:row r="23" ht="26" customHeight="1">
      <x:c r="A23" s="2"/>
      <x:c r="B23" s="12"/>
      <x:c r="C23" s="12"/>
      <x:c r="D23" s="12"/>
      <x:c r="E23" s="12"/>
      <x:c r="F23" s="12"/>
    </x:row>
    <x:row r="24" ht="34" customHeight="1">
      <x:c r="A24" s="2"/>
      <x:c r="B24" s="8" t="str">
        <x:v>Tipo</x:v>
      </x:c>
      <x:c r="C24" s="8" t="str">
        <x:v>Dato</x:v>
      </x:c>
      <x:c r="D24" s="8" t="str">
        <x:v>Criterio</x:v>
      </x:c>
      <x:c r="E24" s="8" t="str">
        <x:v>Aplicación</x:v>
      </x:c>
      <x:c r="F24" s="8" t="str">
        <x:v>Limitación</x:v>
      </x:c>
    </x:row>
    <x:row r="25" ht="75" customHeight="1">
      <x:c r="A25" s="2"/>
      <x:c r="B25" s="12" t="str">
        <x:v>Publicado</x:v>
      </x:c>
      <x:c r="C25" s="12" t="str">
        <x:v>7 min SC</x:v>
      </x:c>
      <x:c r="D25" s="12" t="str">
        <x:v>Duración aproximada, no garantía de duración individual.</x:v>
      </x:c>
      <x:c r="E25" s="12" t="str">
        <x:v>Se permite añadir tiempo local SC.</x:v>
      </x:c>
      <x:c r="F25" s="12" t="str">
        <x:v>No identifica una observación obligatoria de 30/15 min.</x:v>
      </x:c>
    </x:row>
    <x:row r="26" ht="75" customHeight="1">
      <x:c r="A26" s="2"/>
      <x:c r="B26" s="12" t="str">
        <x:v>Supuesto</x:v>
      </x:c>
      <x:c r="C26" s="12" t="str">
        <x:v>30/15 min observación atezolizumab</x:v>
      </x:c>
      <x:c r="D26" s="12" t="str">
        <x:v>No se presenta como requisito publicado.</x:v>
      </x:c>
      <x:c r="E26" s="12" t="str">
        <x:v>Es configurable por vía y etapa. 0 min extra no significa ausencia de vigilancia.</x:v>
      </x:c>
      <x:c r="F26" s="12" t="str">
        <x:v>Requiere validación del protocolo local.</x:v>
      </x:c>
    </x:row>
    <x:row r="27" ht="75" customHeight="1">
      <x:c r="A27" s="2"/>
      <x:c r="B27" s="12" t="str">
        <x:v>Proveniencia</x:v>
      </x:c>
      <x:c r="C27" s="12" t="str">
        <x:v>Avastin como referencia de bevacizumab</x:v>
      </x:c>
      <x:c r="D27" s="12" t="str">
        <x:v>No representa automáticamente todos los biosimilares o presentaciones.</x:v>
      </x:c>
      <x:c r="E27" s="12" t="str">
        <x:v>Verificar la ficha del producto realmente utilizado.</x:v>
      </x:c>
      <x:c r="F27" s="12" t="str">
        <x:v>La demo utiliza tiempos publicados de perfusión.</x:v>
      </x:c>
    </x:row>
    <x:row r="28" ht="75" customHeight="1">
      <x:c r="A28" s="2"/>
      <x:c r="B28" s="12" t="str">
        <x:v>Uso del Excel</x:v>
      </x:c>
      <x:c r="C28" s="12" t="str">
        <x:v>Cálculos mediante fórmulas</x:v>
      </x:c>
      <x:c r="D28" s="12" t="str">
        <x:v>Las celdas ámbar son editables. Las demás muestran datos publicados, cálculos o explicaciones.</x:v>
      </x:c>
      <x:c r="E28" s="12" t="str">
        <x:v>Cambiar parámetros y revisar el resultado en Comparación.</x:v>
      </x:c>
      <x:c r="F28" s="12" t="str">
        <x:v>La interpretación y los tiempos locales requieren validación profesional.</x:v>
      </x:c>
    </x:row>
    <x:row r="29" ht="75" customHeight="1">
      <x:c r="A29" s="2"/>
      <x:c r="B29" s="12" t="str">
        <x:v>Controles</x:v>
      </x:c>
      <x:c r="C29" s="12" t="str">
        <x:v>Blancos, texto, negativos, límites y compatibilidad</x:v>
      </x:c>
      <x:c r="D29" s="12" t="str">
        <x:v>Validación numérica más fórmulas visibles.</x:v>
      </x:c>
      <x:c r="E29" s="12" t="str">
        <x:v>Entradas inválidas convierten resultados en n.a.</x:v>
      </x:c>
      <x:c r="F29" s="12" t="str">
        <x:v>La edición manual de fórmulas o tiempos publicados queda fuera del control de entradas.</x:v>
      </x:c>
    </x:row>
    <x:row r="30" ht="75" customHeight="1">
      <x:c r="A30" s="2"/>
      <x:c r="B30" s="12" t="str">
        <x:v>Alcance clínico</x:v>
      </x:c>
      <x:c r="C30" s="12" t="str">
        <x:v>Una visita conjunta cada 3 semanas</x:v>
      </x:c>
      <x:c r="D30" s="12" t="str">
        <x:v>Tecentriq IV 1.200 mg o SC 1.875 mg, seguido de bevacizumab 15 mg/kg.</x:v>
      </x:c>
      <x:c r="E30" s="12" t="str">
        <x:v>Dosis y combinación CHC de FT_IV / FT_SC, sección 4.2. La lista 4.1 de Avastin consultada no incluye CHC.</x:v>
      </x:c>
      <x:c r="F30" s="12" t="str">
        <x:v>No se modelan las agendas IV de 2 o 4 semanas ni la dosificación individual.</x:v>
      </x:c>
    </x:row>
    <x:row r="31" ht="26" customHeight="1">
      <x:c r="A31" s="2"/>
      <x:c r="B31" s="12"/>
      <x:c r="C31" s="12"/>
      <x:c r="D31" s="12"/>
      <x:c r="E31" s="12"/>
      <x:c r="F31" s="12"/>
    </x:row>
    <x:row r="32" ht="26" customHeight="1">
      <x:c r="A32" s="2"/>
      <x:c r="B32" s="12"/>
      <x:c r="C32" s="12"/>
      <x:c r="D32" s="12"/>
      <x:c r="E32" s="12"/>
      <x:c r="F32" s="12"/>
    </x:row>
    <x:row r="33" ht="26" customHeight="1">
      <x:c r="A33" s="2"/>
      <x:c r="B33" s="12"/>
      <x:c r="C33" s="12"/>
      <x:c r="D33" s="12"/>
      <x:c r="E33" s="12"/>
      <x:c r="F33" s="12"/>
    </x:row>
    <x:row r="34" ht="26" customHeight="1">
      <x:c r="A34" s="2"/>
      <x:c r="B34" s="12"/>
      <x:c r="C34" s="12"/>
      <x:c r="D34" s="12"/>
      <x:c r="E34" s="12"/>
      <x:c r="F34" s="12"/>
    </x:row>
    <x:row r="35" ht="26" customHeight="1">
      <x:c r="A35" s="2"/>
      <x:c r="B35" s="12"/>
      <x:c r="C35" s="12"/>
      <x:c r="D35" s="12"/>
      <x:c r="E35" s="12"/>
      <x:c r="F35" s="12"/>
    </x:row>
    <x:row r="36" ht="26" customHeight="1">
      <x:c r="A36" s="2"/>
      <x:c r="B36" s="12"/>
      <x:c r="C36" s="12"/>
      <x:c r="D36" s="12"/>
      <x:c r="E36" s="12"/>
      <x:c r="F36" s="12"/>
    </x:row>
    <x:row r="37" ht="26" customHeight="1">
      <x:c r="A37" s="2"/>
      <x:c r="B37" s="12"/>
      <x:c r="C37" s="12"/>
      <x:c r="D37" s="12"/>
      <x:c r="E37" s="12"/>
      <x:c r="F37" s="12"/>
    </x:row>
    <x:row r="38" ht="26" customHeight="1">
      <x:c r="A38" s="2"/>
      <x:c r="B38" s="12"/>
      <x:c r="C38" s="12"/>
      <x:c r="D38" s="12"/>
      <x:c r="E38" s="12"/>
      <x:c r="F38" s="12"/>
    </x:row>
    <x:row r="39" ht="26" customHeight="1">
      <x:c r="A39" s="2"/>
      <x:c r="B39" s="12"/>
      <x:c r="C39" s="12"/>
      <x:c r="D39" s="12"/>
      <x:c r="E39" s="12"/>
      <x:c r="F39" s="12"/>
    </x:row>
    <x:row r="40" ht="26" customHeight="1">
      <x:c r="A40" s="2"/>
      <x:c r="B40" s="12"/>
      <x:c r="C40" s="12"/>
      <x:c r="D40" s="12"/>
      <x:c r="E40" s="12"/>
      <x:c r="F40" s="12"/>
    </x:row>
    <x:row r="41" ht="26" customHeight="1">
      <x:c r="A41" s="2"/>
      <x:c r="B41" s="12"/>
      <x:c r="C41" s="12"/>
      <x:c r="D41" s="12"/>
      <x:c r="E41" s="12"/>
      <x:c r="F41" s="12"/>
    </x:row>
    <x:row r="42" ht="26" customHeight="1">
      <x:c r="A42" s="2"/>
      <x:c r="B42" s="12"/>
      <x:c r="C42" s="12"/>
      <x:c r="D42" s="12"/>
      <x:c r="E42" s="12"/>
      <x:c r="F42" s="12"/>
    </x:row>
  </x:sheetData>
  <x:pageMargins left="0.7" right="0.7" top="0.75" bottom="0.75" header="0.3" footer="0.3"/>
</x:worksheet>
</file>